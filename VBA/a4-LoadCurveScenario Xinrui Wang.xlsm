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CO421\assignment\"/>
    </mc:Choice>
  </mc:AlternateContent>
  <xr:revisionPtr revIDLastSave="0" documentId="13_ncr:1_{000F0E50-5FCF-42C1-BF56-A52CBED675D9}" xr6:coauthVersionLast="45" xr6:coauthVersionMax="45" xr10:uidLastSave="{00000000-0000-0000-0000-000000000000}"/>
  <bookViews>
    <workbookView xWindow="-110" yWindow="-110" windowWidth="19420" windowHeight="10560" tabRatio="806" activeTab="9" xr2:uid="{00000000-000D-0000-FFFF-FFFF00000000}"/>
  </bookViews>
  <sheets>
    <sheet name="Input" sheetId="167" r:id="rId1"/>
    <sheet name="IRCAD" sheetId="30" r:id="rId2"/>
    <sheet name="IRUSD" sheetId="143" r:id="rId3"/>
    <sheet name="IRJPY" sheetId="63" r:id="rId4"/>
    <sheet name="IREUR" sheetId="37" r:id="rId5"/>
    <sheet name="IRGBP" sheetId="64" r:id="rId6"/>
    <sheet name="IRHKD" sheetId="65" r:id="rId7"/>
    <sheet name="IRAUD" sheetId="66" r:id="rId8"/>
    <sheet name="Shortlisted Securities" sheetId="160" state="hidden" r:id="rId9"/>
    <sheet name="Result" sheetId="16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bb">[1]Data!$E$2:$E$5</definedName>
    <definedName name="bs">[2]Data!$E$2:$E$5</definedName>
    <definedName name="cflow1" localSheetId="0">#REF!</definedName>
    <definedName name="cflow1">#REF!</definedName>
    <definedName name="cflow2" localSheetId="0">#REF!</definedName>
    <definedName name="cflow2">#REF!</definedName>
    <definedName name="ComRate">[3]Lookup!$F$5:$G$7</definedName>
    <definedName name="curr">#REF!</definedName>
    <definedName name="dvec" localSheetId="0">#REF!</definedName>
    <definedName name="dvec">#REF!</definedName>
    <definedName name="Index">[3]Beta!$C$5:$C$64</definedName>
    <definedName name="invA">[3]MatDef!$I$17:$K$19</definedName>
    <definedName name="lookup" localSheetId="0">#REF!</definedName>
    <definedName name="lookup">#REF!</definedName>
    <definedName name="regoutput">[3]Beta!$E$8:$M$28</definedName>
    <definedName name="SessionDate" localSheetId="0">Input!$D$3</definedName>
    <definedName name="SessionDate">#REF!</definedName>
    <definedName name="SessionDate_1">[4]Intro!$F$5</definedName>
    <definedName name="ShareA">[3]Beta!$B$5:$B$64</definedName>
    <definedName name="spotCAD" localSheetId="0">#REF!</definedName>
    <definedName name="spotCAD">#REF!</definedName>
    <definedName name="spotEUR" localSheetId="0">#REF!</definedName>
    <definedName name="spotEUR">#REF!</definedName>
    <definedName name="spotGBP" localSheetId="0">#REF!</definedName>
    <definedName name="spotGBP">#REF!</definedName>
    <definedName name="spotHKD" localSheetId="0">#REF!</definedName>
    <definedName name="spotHKD">#REF!</definedName>
    <definedName name="spotTWD" localSheetId="0">#REF!</definedName>
    <definedName name="spotTWD">#REF!</definedName>
    <definedName name="table1">#REF!</definedName>
    <definedName name="Y">[3]MatDef!$C$21:$C$23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66" l="1"/>
  <c r="B6" i="65"/>
  <c r="B6" i="64"/>
  <c r="B6" i="37"/>
  <c r="B6" i="63"/>
  <c r="B6" i="143"/>
  <c r="B6" i="30"/>
  <c r="B4" i="66" l="1"/>
  <c r="B4" i="65"/>
  <c r="B4" i="64"/>
  <c r="B4" i="37"/>
  <c r="B4" i="63"/>
  <c r="B4" i="143"/>
  <c r="D16" i="16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ngee-5g8mxwwwtm</author>
  </authors>
  <commentList>
    <comment ref="D4" authorId="0" shapeId="0" xr:uid="{00000000-0006-0000-0100-000001000000}">
      <text>
        <r>
          <rPr>
            <b/>
            <sz val="8"/>
            <color rgb="FF000000"/>
            <rFont val="Tahoma"/>
            <family val="2"/>
          </rPr>
          <t>Alan:</t>
        </r>
        <r>
          <rPr>
            <sz val="8"/>
            <color rgb="FF000000"/>
            <rFont val="Tahoma"/>
            <family val="2"/>
          </rPr>
          <t xml:space="preserve">
</t>
        </r>
        <r>
          <rPr>
            <sz val="8"/>
            <color rgb="FF000000"/>
            <rFont val="Tahoma"/>
            <family val="2"/>
          </rPr>
          <t xml:space="preserve">Curve Unit contains two parts seperated by space. The first part indicates compounding frequency; the second part indicates Daycount Basis. Avaliable compounding frequencys are: SMP, ANNUAL, QUART, SEMI, MONT, CONT. SMP means simple compounding, CONT means Continuous compounding, etc. Avaliable Daycount Basis are actual/365, actual/actual, 30/365, 30/360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ayang</author>
  </authors>
  <commentList>
    <comment ref="D4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ayang:</t>
        </r>
        <r>
          <rPr>
            <sz val="8"/>
            <color indexed="81"/>
            <rFont val="Tahoma"/>
            <family val="2"/>
          </rPr>
          <t xml:space="preserve">
SMP stands for simple compounding.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1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Issuer's name, the corresponding id is ORG_ID. Issuer is the counterparty you do business with.</t>
        </r>
      </text>
    </comment>
    <comment ref="B1" authorId="0" shapeId="0" xr:uid="{00000000-0006-0000-0A00-000002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Market treaded instrument type. Can be either Fixed Rate Bond or Floating Rate Note.</t>
        </r>
      </text>
    </comment>
    <comment ref="C1" authorId="0" shapeId="0" xr:uid="{00000000-0006-0000-0A00-000003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Rating of bond.</t>
        </r>
      </text>
    </comment>
    <comment ref="D1" authorId="0" shapeId="0" xr:uid="{00000000-0006-0000-0A00-000004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Seniority class.</t>
        </r>
      </text>
    </comment>
    <comment ref="E1" authorId="0" shapeId="0" xr:uid="{00000000-0006-0000-0A00-000005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cash flow currency symbol.</t>
        </r>
      </text>
    </comment>
    <comment ref="F1" authorId="0" shapeId="0" xr:uid="{00000000-0006-0000-0A00-000006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Principal amount in million.</t>
        </r>
      </text>
    </comment>
    <comment ref="G1" authorId="0" shapeId="0" xr:uid="{00000000-0006-0000-0A00-000007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Instrument id.</t>
        </r>
      </text>
    </comment>
    <comment ref="H1" authorId="0" shapeId="0" xr:uid="{00000000-0006-0000-0A00-000008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Country of the issuer</t>
        </r>
      </text>
    </comment>
    <comment ref="I1" authorId="0" shapeId="0" xr:uid="{00000000-0006-0000-0A00-000009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Counterparty id</t>
        </r>
      </text>
    </comment>
    <comment ref="J1" authorId="0" shapeId="0" xr:uid="{00000000-0006-0000-0A00-00000A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Number of days to maturity</t>
        </r>
      </text>
    </comment>
    <comment ref="K1" authorId="0" shapeId="0" xr:uid="{00000000-0006-0000-0A00-00000B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Maturity Date</t>
        </r>
      </text>
    </comment>
    <comment ref="L1" authorId="0" shapeId="0" xr:uid="{00000000-0006-0000-0A00-00000C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Fixed coupon rate with unit.</t>
        </r>
      </text>
    </comment>
    <comment ref="M1" authorId="0" shapeId="0" xr:uid="{00000000-0006-0000-0A00-00000D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Coupon payment term</t>
        </r>
      </text>
    </comment>
    <comment ref="N1" authorId="0" shapeId="0" xr:uid="{00000000-0006-0000-0A00-00000E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Domestic discount curve used to calculate present value or generating floating cashflow.</t>
        </r>
      </text>
    </comment>
    <comment ref="O1" authorId="0" shapeId="0" xr:uid="{00000000-0006-0000-0A00-00000F000000}">
      <text>
        <r>
          <rPr>
            <b/>
            <sz val="8"/>
            <color indexed="81"/>
            <rFont val="Tahoma"/>
            <family val="2"/>
          </rPr>
          <t>Admin:</t>
        </r>
        <r>
          <rPr>
            <sz val="8"/>
            <color indexed="81"/>
            <rFont val="Tahoma"/>
            <family val="2"/>
          </rPr>
          <t xml:space="preserve">
Bond spread. Usually, used as scalar, no unit.</t>
        </r>
      </text>
    </comment>
  </commentList>
</comments>
</file>

<file path=xl/sharedStrings.xml><?xml version="1.0" encoding="utf-8"?>
<sst xmlns="http://schemas.openxmlformats.org/spreadsheetml/2006/main" count="298" uniqueCount="120">
  <si>
    <t>Name</t>
  </si>
  <si>
    <t>IRCAD</t>
  </si>
  <si>
    <t>Interpolate Term</t>
  </si>
  <si>
    <t>@Linear()</t>
  </si>
  <si>
    <t>ID</t>
  </si>
  <si>
    <t>Curve Unit</t>
  </si>
  <si>
    <t>Type</t>
  </si>
  <si>
    <t>Zero</t>
  </si>
  <si>
    <t>RiskMetrics Link</t>
  </si>
  <si>
    <t xml:space="preserve">Origin </t>
  </si>
  <si>
    <t>Term/Time</t>
  </si>
  <si>
    <t>Zero Coupon Discount Curve: IRCAD</t>
  </si>
  <si>
    <t>Fixed Rate Bond</t>
  </si>
  <si>
    <t>USD</t>
  </si>
  <si>
    <t>IRUSD</t>
  </si>
  <si>
    <t>Floating Rate Note</t>
  </si>
  <si>
    <t>Discount Curve: IRUSD</t>
  </si>
  <si>
    <t>SMP actual/365</t>
  </si>
  <si>
    <t>Origin</t>
  </si>
  <si>
    <t>0.05 SMP actual/365</t>
  </si>
  <si>
    <t>1 months</t>
  </si>
  <si>
    <t>3 months</t>
  </si>
  <si>
    <t>6 months</t>
  </si>
  <si>
    <t>ISSUER/CP_NM</t>
  </si>
  <si>
    <t>TYPE</t>
  </si>
  <si>
    <t>BLR_RATING</t>
  </si>
  <si>
    <t>RECOVERY_RATING</t>
  </si>
  <si>
    <t>CURR_DESC</t>
  </si>
  <si>
    <t>FACILITY</t>
  </si>
  <si>
    <t>ISSUE_ID</t>
  </si>
  <si>
    <t>COUNTRY_DESC</t>
  </si>
  <si>
    <t>ORG_ID</t>
  </si>
  <si>
    <t>LIFE_TO_M</t>
  </si>
  <si>
    <t>MATURITY_DT</t>
  </si>
  <si>
    <t>COUPON_RATE</t>
  </si>
  <si>
    <t>COUPON_TERM</t>
  </si>
  <si>
    <t>DISCOUNT_CV</t>
  </si>
  <si>
    <t>SPREAD</t>
  </si>
  <si>
    <t>2</t>
  </si>
  <si>
    <t>600</t>
  </si>
  <si>
    <t>United States</t>
  </si>
  <si>
    <t>75</t>
  </si>
  <si>
    <t>1 years</t>
  </si>
  <si>
    <t>3</t>
  </si>
  <si>
    <t>Abertis Infraestructuras S.A.</t>
  </si>
  <si>
    <t>EUR</t>
  </si>
  <si>
    <t>786939</t>
  </si>
  <si>
    <t>Spain</t>
  </si>
  <si>
    <t>381633</t>
  </si>
  <si>
    <t>1</t>
  </si>
  <si>
    <t>United Kingdom</t>
  </si>
  <si>
    <t>AECO Gas Storage LP</t>
  </si>
  <si>
    <t>Canada</t>
  </si>
  <si>
    <t>401500</t>
  </si>
  <si>
    <t>200</t>
  </si>
  <si>
    <t>1122471</t>
  </si>
  <si>
    <t>Akzo Nobel N.V.</t>
  </si>
  <si>
    <t>1500</t>
  </si>
  <si>
    <t>783373</t>
  </si>
  <si>
    <t>Netherlands</t>
  </si>
  <si>
    <t>108518</t>
  </si>
  <si>
    <t>Allegheny Energy Supply Co. LLC</t>
  </si>
  <si>
    <t>342352</t>
  </si>
  <si>
    <t>1000</t>
  </si>
  <si>
    <t>1083051</t>
  </si>
  <si>
    <t>60</t>
  </si>
  <si>
    <t>Alpha Schools (Highland) Project PLC</t>
  </si>
  <si>
    <t>GBP</t>
  </si>
  <si>
    <t>754488</t>
  </si>
  <si>
    <t>395534</t>
  </si>
  <si>
    <t>Amcor Finance (USA) Inc.</t>
  </si>
  <si>
    <t>302668</t>
  </si>
  <si>
    <t>174</t>
  </si>
  <si>
    <t>136</t>
  </si>
  <si>
    <t>255</t>
  </si>
  <si>
    <t>AAA</t>
  </si>
  <si>
    <t>CAD</t>
  </si>
  <si>
    <t>Kazakh Agrarian Credit Corp.</t>
  </si>
  <si>
    <t>899681</t>
  </si>
  <si>
    <t>Kazakhstan</t>
  </si>
  <si>
    <t>407253</t>
  </si>
  <si>
    <t>Kingdom of Bahrain</t>
  </si>
  <si>
    <t>584088</t>
  </si>
  <si>
    <t>Bahrain</t>
  </si>
  <si>
    <t>363070</t>
  </si>
  <si>
    <t>584089</t>
  </si>
  <si>
    <t>Leisureworld Senior Care LP</t>
  </si>
  <si>
    <t>889363</t>
  </si>
  <si>
    <t>392735</t>
  </si>
  <si>
    <t>IREUR</t>
  </si>
  <si>
    <t>Datum</t>
  </si>
  <si>
    <t>IRGBP</t>
  </si>
  <si>
    <t>IRHKD</t>
  </si>
  <si>
    <t>IRJPY</t>
  </si>
  <si>
    <t>LAST_REST_RATE</t>
  </si>
  <si>
    <t>754489</t>
  </si>
  <si>
    <t>1109332</t>
  </si>
  <si>
    <t>buy LT liability</t>
  </si>
  <si>
    <t>buy ST asset</t>
  </si>
  <si>
    <t>buy</t>
  </si>
  <si>
    <t>SMP actual/actual</t>
  </si>
  <si>
    <t>eco2508</t>
  </si>
  <si>
    <t>Steepener Shock</t>
  </si>
  <si>
    <t>Flatterner Shock</t>
  </si>
  <si>
    <t>Short Rates Shock Up</t>
  </si>
  <si>
    <t>Short Rates Shock Down</t>
  </si>
  <si>
    <t>Parallel Up</t>
  </si>
  <si>
    <t>Parallel Down</t>
  </si>
  <si>
    <t>Scenario</t>
  </si>
  <si>
    <t>Base</t>
  </si>
  <si>
    <t>IR Curve</t>
  </si>
  <si>
    <t>Output</t>
  </si>
  <si>
    <t>Result</t>
  </si>
  <si>
    <t>Session Date</t>
  </si>
  <si>
    <t>zero</t>
  </si>
  <si>
    <t>@linear()</t>
  </si>
  <si>
    <t>smp</t>
  </si>
  <si>
    <t>actual/365</t>
  </si>
  <si>
    <t>IRAUD</t>
  </si>
  <si>
    <r>
      <t xml:space="preserve">Load Curve Scenario Requirement:
</t>
    </r>
    <r>
      <rPr>
        <sz val="18"/>
        <rFont val="Arial"/>
        <family val="2"/>
      </rPr>
      <t>E</t>
    </r>
    <r>
      <rPr>
        <sz val="14"/>
        <rFont val="Arial"/>
        <family val="2"/>
      </rPr>
      <t>ach IR curves in the dropdown list A3 consists of a column Terms (such as 7, 30, 60, … length is open) and corresponding interest rates under each Scenario: Base,Parallel Up,Parallel Down,Steepener Shock,Flatterner Shock,Short Rates Shock Up and Short Rates Shock Down. 
Write a Sub module and link it to the "Click to Run" button. When clicked, your module will  use module: LoadZeroCurve to</t>
    </r>
    <r>
      <rPr>
        <sz val="14"/>
        <color theme="1"/>
        <rFont val="Arial"/>
        <family val="2"/>
      </rPr>
      <t xml:space="preserve"> load the curve into an curve objective with curve type = ZeroCurve</t>
    </r>
    <r>
      <rPr>
        <sz val="14"/>
        <rFont val="Arial"/>
        <family val="2"/>
      </rPr>
      <t xml:space="preserve">. Then </t>
    </r>
    <r>
      <rPr>
        <sz val="14"/>
        <color rgb="FFFF0000"/>
        <rFont val="Arial"/>
        <family val="2"/>
      </rPr>
      <t>replace the object curve's value() with scenario values.</t>
    </r>
    <r>
      <rPr>
        <sz val="14"/>
        <rFont val="Arial"/>
        <family val="2"/>
      </rPr>
      <t xml:space="preserve"> Print your curve object into the Outpout sheet using PrintZeroCurve module. </t>
    </r>
    <r>
      <rPr>
        <b/>
        <i/>
        <sz val="14"/>
        <color rgb="FFFF0000"/>
        <rFont val="Arial"/>
        <family val="2"/>
      </rPr>
      <t xml:space="preserve">If output sheet does not exist, create one using module: CreatWorkSheet, then print; if it exists, clear its contents followed by printing. </t>
    </r>
    <r>
      <rPr>
        <sz val="14"/>
        <rFont val="Arial"/>
        <family val="2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</si>
</sst>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000"/>
    <numFmt numFmtId="165" formatCode="dd/mm/yyyy;@"/>
    <numFmt numFmtId="166" formatCode="#,##0.0000"/>
    <numFmt numFmtId="167" formatCode="0.00000000000"/>
    <numFmt numFmtId="168" formatCode="yyyy/mm/dd;@"/>
    <numFmt numFmtId="169" formatCode="0.0000000"/>
  </numFmts>
  <fonts count="22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6"/>
      <name val="Arial"/>
      <family val="2"/>
    </font>
    <font>
      <sz val="10"/>
      <color rgb="FFFF0000"/>
      <name val="Arial"/>
      <family val="2"/>
    </font>
    <font>
      <b/>
      <sz val="16"/>
      <name val="Arial"/>
      <family val="2"/>
    </font>
    <font>
      <b/>
      <sz val="8"/>
      <color rgb="FF000000"/>
      <name val="Tahoma"/>
      <family val="2"/>
    </font>
    <font>
      <sz val="8"/>
      <color rgb="FF000000"/>
      <name val="Tahoma"/>
      <family val="2"/>
    </font>
    <font>
      <b/>
      <sz val="18"/>
      <name val="Arial"/>
      <family val="2"/>
    </font>
    <font>
      <sz val="12"/>
      <color rgb="FF000000"/>
      <name val="Calibri"/>
      <family val="2"/>
    </font>
    <font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Arial"/>
      <family val="2"/>
    </font>
    <font>
      <sz val="18"/>
      <name val="Arial"/>
      <family val="2"/>
    </font>
    <font>
      <sz val="14"/>
      <color rgb="FFFF0000"/>
      <name val="Arial"/>
      <family val="2"/>
    </font>
    <font>
      <b/>
      <i/>
      <sz val="14"/>
      <color rgb="FFFF0000"/>
      <name val="Arial"/>
      <family val="2"/>
    </font>
    <font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2" fillId="0" borderId="0"/>
  </cellStyleXfs>
  <cellXfs count="58">
    <xf numFmtId="0" fontId="0" fillId="0" borderId="0" xfId="0"/>
    <xf numFmtId="0" fontId="4" fillId="0" borderId="0" xfId="0" applyFont="1"/>
    <xf numFmtId="9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/>
    <xf numFmtId="0" fontId="0" fillId="0" borderId="0" xfId="0" applyBorder="1"/>
    <xf numFmtId="0" fontId="4" fillId="0" borderId="3" xfId="0" applyFont="1" applyBorder="1"/>
    <xf numFmtId="0" fontId="0" fillId="0" borderId="4" xfId="0" applyBorder="1"/>
    <xf numFmtId="0" fontId="4" fillId="0" borderId="4" xfId="0" applyFont="1" applyBorder="1"/>
    <xf numFmtId="0" fontId="0" fillId="0" borderId="5" xfId="0" applyBorder="1"/>
    <xf numFmtId="0" fontId="4" fillId="0" borderId="6" xfId="0" applyFont="1" applyBorder="1"/>
    <xf numFmtId="0" fontId="0" fillId="0" borderId="1" xfId="0" applyBorder="1"/>
    <xf numFmtId="0" fontId="4" fillId="0" borderId="1" xfId="0" applyFont="1" applyBorder="1"/>
    <xf numFmtId="0" fontId="0" fillId="0" borderId="7" xfId="0" applyBorder="1"/>
    <xf numFmtId="0" fontId="4" fillId="0" borderId="8" xfId="0" applyFont="1" applyBorder="1"/>
    <xf numFmtId="0" fontId="4" fillId="0" borderId="9" xfId="0" applyFont="1" applyBorder="1"/>
    <xf numFmtId="0" fontId="0" fillId="0" borderId="10" xfId="0" applyBorder="1"/>
    <xf numFmtId="0" fontId="0" fillId="0" borderId="3" xfId="0" applyBorder="1"/>
    <xf numFmtId="0" fontId="4" fillId="0" borderId="0" xfId="0" applyFont="1" applyFill="1" applyBorder="1"/>
    <xf numFmtId="0" fontId="0" fillId="0" borderId="6" xfId="0" applyBorder="1"/>
    <xf numFmtId="164" fontId="0" fillId="0" borderId="0" xfId="0" applyNumberFormat="1"/>
    <xf numFmtId="14" fontId="0" fillId="0" borderId="9" xfId="0" applyNumberFormat="1" applyBorder="1"/>
    <xf numFmtId="0" fontId="0" fillId="0" borderId="7" xfId="0" applyBorder="1" applyAlignment="1">
      <alignment horizontal="center"/>
    </xf>
    <xf numFmtId="166" fontId="0" fillId="2" borderId="0" xfId="0" applyNumberFormat="1" applyFill="1" applyAlignment="1">
      <alignment wrapText="1"/>
    </xf>
    <xf numFmtId="166" fontId="0" fillId="2" borderId="0" xfId="0" applyNumberFormat="1" applyFill="1" applyAlignment="1">
      <alignment horizontal="center" wrapText="1"/>
    </xf>
    <xf numFmtId="165" fontId="0" fillId="0" borderId="0" xfId="0" applyNumberFormat="1" applyAlignment="1">
      <alignment horizontal="center"/>
    </xf>
    <xf numFmtId="3" fontId="0" fillId="0" borderId="1" xfId="0" applyNumberFormat="1" applyBorder="1"/>
    <xf numFmtId="0" fontId="0" fillId="0" borderId="9" xfId="0" applyBorder="1"/>
    <xf numFmtId="0" fontId="0" fillId="0" borderId="8" xfId="0" applyBorder="1"/>
    <xf numFmtId="167" fontId="0" fillId="0" borderId="0" xfId="0" applyNumberFormat="1"/>
    <xf numFmtId="168" fontId="0" fillId="0" borderId="7" xfId="0" applyNumberFormat="1" applyBorder="1" applyAlignment="1">
      <alignment horizontal="right"/>
    </xf>
    <xf numFmtId="0" fontId="0" fillId="0" borderId="0" xfId="0"/>
    <xf numFmtId="0" fontId="5" fillId="0" borderId="7" xfId="1" applyBorder="1" applyAlignment="1" applyProtection="1"/>
    <xf numFmtId="0" fontId="0" fillId="0" borderId="0" xfId="0" applyAlignment="1">
      <alignment horizontal="center"/>
    </xf>
    <xf numFmtId="0" fontId="9" fillId="0" borderId="7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4" fillId="0" borderId="1" xfId="0" applyFont="1" applyBorder="1"/>
    <xf numFmtId="0" fontId="0" fillId="0" borderId="0" xfId="0"/>
    <xf numFmtId="0" fontId="4" fillId="0" borderId="3" xfId="0" applyFont="1" applyBorder="1"/>
    <xf numFmtId="0" fontId="4" fillId="0" borderId="6" xfId="0" applyFont="1" applyBorder="1"/>
    <xf numFmtId="0" fontId="0" fillId="0" borderId="0" xfId="0" quotePrefix="1" applyAlignment="1">
      <alignment horizontal="center"/>
    </xf>
    <xf numFmtId="0" fontId="4" fillId="0" borderId="5" xfId="0" applyFont="1" applyBorder="1"/>
    <xf numFmtId="0" fontId="10" fillId="0" borderId="1" xfId="0" applyFont="1" applyBorder="1"/>
    <xf numFmtId="0" fontId="16" fillId="0" borderId="1" xfId="0" applyFont="1" applyBorder="1" applyAlignment="1">
      <alignment horizontal="center"/>
    </xf>
    <xf numFmtId="0" fontId="16" fillId="0" borderId="1" xfId="0" applyFont="1" applyFill="1" applyBorder="1" applyAlignment="1">
      <alignment horizontal="center"/>
    </xf>
    <xf numFmtId="0" fontId="17" fillId="3" borderId="1" xfId="0" applyFont="1" applyFill="1" applyBorder="1"/>
    <xf numFmtId="0" fontId="8" fillId="4" borderId="1" xfId="0" applyFont="1" applyFill="1" applyBorder="1"/>
    <xf numFmtId="0" fontId="17" fillId="3" borderId="1" xfId="1" applyFont="1" applyFill="1" applyBorder="1" applyAlignment="1" applyProtection="1">
      <alignment horizontal="center"/>
    </xf>
    <xf numFmtId="15" fontId="15" fillId="0" borderId="1" xfId="0" applyNumberFormat="1" applyFont="1" applyBorder="1" applyAlignment="1">
      <alignment horizontal="center"/>
    </xf>
    <xf numFmtId="14" fontId="0" fillId="0" borderId="0" xfId="0" applyNumberFormat="1"/>
    <xf numFmtId="169" fontId="0" fillId="0" borderId="0" xfId="0" applyNumberFormat="1"/>
    <xf numFmtId="0" fontId="13" fillId="0" borderId="0" xfId="0" applyFont="1" applyAlignment="1">
      <alignment horizontal="left" vertical="top" wrapText="1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2" xfId="0" applyFont="1" applyBorder="1" applyAlignment="1">
      <alignment horizontal="center"/>
    </xf>
  </cellXfs>
  <cellStyles count="4">
    <cellStyle name="Hyperlink" xfId="1" builtinId="8"/>
    <cellStyle name="Normal" xfId="0" builtinId="0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762000</xdr:colOff>
          <xdr:row>4</xdr:row>
          <xdr:rowOff>50800</xdr:rowOff>
        </xdr:from>
        <xdr:to>
          <xdr:col>2</xdr:col>
          <xdr:colOff>1231900</xdr:colOff>
          <xdr:row>7</xdr:row>
          <xdr:rowOff>25400</xdr:rowOff>
        </xdr:to>
        <xdr:sp macro="" textlink="">
          <xdr:nvSpPr>
            <xdr:cNvPr id="626697" name="Button 9" descr="Click to Recalc" hidden="1">
              <a:extLst>
                <a:ext uri="{63B3BB69-23CF-44E3-9099-C40C66FF867C}">
                  <a14:compatExt spid="_x0000_s626697"/>
                </a:ext>
                <a:ext uri="{FF2B5EF4-FFF2-40B4-BE49-F238E27FC236}">
                  <a16:creationId xmlns:a16="http://schemas.microsoft.com/office/drawing/2014/main" id="{00000000-0008-0000-0000-00000990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Users/sarahjingli/Desktop/ECO2508%20Risk%20Management/Assignment/a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C:/D:/AMFExc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Volumes/GoogleDrive/My%20Drive/Study/Classes/Risk/Risk%20project/group#-p1-ALM-StressModule-Jes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Beta"/>
      <sheetName val="MatDef"/>
      <sheetName val="Frequency"/>
    </sheetNames>
    <sheetDataSet>
      <sheetData sheetId="0" refreshError="1">
        <row r="5">
          <cell r="F5">
            <v>0</v>
          </cell>
          <cell r="G5">
            <v>0.08</v>
          </cell>
        </row>
        <row r="6">
          <cell r="F6">
            <v>10000</v>
          </cell>
          <cell r="G6">
            <v>0.105</v>
          </cell>
        </row>
        <row r="7">
          <cell r="F7">
            <v>20000</v>
          </cell>
          <cell r="G7">
            <v>0.12</v>
          </cell>
        </row>
      </sheetData>
      <sheetData sheetId="1" refreshError="1">
        <row r="5">
          <cell r="B5">
            <v>-0.1326</v>
          </cell>
          <cell r="C5">
            <v>-5.3400000000000003E-2</v>
          </cell>
        </row>
        <row r="6">
          <cell r="B6">
            <v>6.7100000000000007E-2</v>
          </cell>
          <cell r="C6">
            <v>8.6800000000000002E-2</v>
          </cell>
        </row>
        <row r="7">
          <cell r="B7">
            <v>9.3899999999999997E-2</v>
          </cell>
          <cell r="C7">
            <v>1.8200000000000001E-2</v>
          </cell>
        </row>
        <row r="8">
          <cell r="B8">
            <v>-0.13389999999999999</v>
          </cell>
          <cell r="C8">
            <v>-0.08</v>
          </cell>
        </row>
        <row r="9">
          <cell r="B9">
            <v>-9.5100000000000004E-2</v>
          </cell>
          <cell r="C9">
            <v>-6.6600000000000006E-2</v>
          </cell>
        </row>
        <row r="10">
          <cell r="B10">
            <v>-3.8100000000000002E-2</v>
          </cell>
          <cell r="C10">
            <v>-4.5499999999999999E-2</v>
          </cell>
        </row>
        <row r="11">
          <cell r="B11">
            <v>8.8200000000000001E-2</v>
          </cell>
          <cell r="C11">
            <v>9.2499999999999999E-2</v>
          </cell>
        </row>
        <row r="12">
          <cell r="B12">
            <v>0.114</v>
          </cell>
          <cell r="C12">
            <v>3.9300000000000002E-2</v>
          </cell>
        </row>
        <row r="13">
          <cell r="B13">
            <v>6.9400000000000003E-2</v>
          </cell>
          <cell r="C13">
            <v>4.2200000000000001E-2</v>
          </cell>
        </row>
        <row r="14">
          <cell r="B14">
            <v>5.2699999999999997E-2</v>
          </cell>
          <cell r="C14">
            <v>3.6200000000000003E-2</v>
          </cell>
        </row>
        <row r="15">
          <cell r="B15">
            <v>-0.1298</v>
          </cell>
          <cell r="C15">
            <v>-5.9999999999999995E-4</v>
          </cell>
        </row>
        <row r="16">
          <cell r="B16">
            <v>3.95E-2</v>
          </cell>
          <cell r="C16">
            <v>2.23E-2</v>
          </cell>
        </row>
        <row r="17">
          <cell r="B17">
            <v>-3.5799999999999998E-2</v>
          </cell>
          <cell r="C17">
            <v>7.1000000000000004E-3</v>
          </cell>
        </row>
        <row r="18">
          <cell r="B18">
            <v>-1.7899999999999999E-2</v>
          </cell>
          <cell r="C18">
            <v>-1.4999999999999999E-2</v>
          </cell>
        </row>
        <row r="19">
          <cell r="B19">
            <v>0.12509999999999999</v>
          </cell>
          <cell r="C19">
            <v>9.1999999999999998E-3</v>
          </cell>
        </row>
        <row r="20">
          <cell r="B20">
            <v>4.5699999999999998E-2</v>
          </cell>
          <cell r="C20">
            <v>1.9199999999999998E-2</v>
          </cell>
        </row>
        <row r="21">
          <cell r="B21">
            <v>3.9100000000000003E-2</v>
          </cell>
          <cell r="C21">
            <v>1.01E-2</v>
          </cell>
        </row>
        <row r="22">
          <cell r="B22">
            <v>0.18890000000000001</v>
          </cell>
          <cell r="C22">
            <v>5.8099999999999999E-2</v>
          </cell>
        </row>
        <row r="23">
          <cell r="B23">
            <v>-0.1318</v>
          </cell>
          <cell r="C23">
            <v>-2.1499999999999998E-2</v>
          </cell>
        </row>
        <row r="24">
          <cell r="B24">
            <v>9.06E-2</v>
          </cell>
          <cell r="C24">
            <v>3.6900000000000002E-2</v>
          </cell>
        </row>
        <row r="25">
          <cell r="B25">
            <v>-4.8800000000000003E-2</v>
          </cell>
          <cell r="C25">
            <v>-6.8999999999999999E-3</v>
          </cell>
        </row>
        <row r="26">
          <cell r="B26">
            <v>0.11219999999999999</v>
          </cell>
          <cell r="C26">
            <v>7.6600000000000001E-2</v>
          </cell>
        </row>
        <row r="27">
          <cell r="B27">
            <v>-1.8700000000000001E-2</v>
          </cell>
          <cell r="C27">
            <v>3.5799999999999998E-2</v>
          </cell>
        </row>
        <row r="28">
          <cell r="B28">
            <v>2.3E-2</v>
          </cell>
          <cell r="C28">
            <v>-4.2599999999999999E-2</v>
          </cell>
        </row>
        <row r="29">
          <cell r="B29">
            <v>-0.15809999999999999</v>
          </cell>
          <cell r="C29">
            <v>-7.1499999999999994E-2</v>
          </cell>
        </row>
        <row r="30">
          <cell r="B30">
            <v>4.8800000000000003E-2</v>
          </cell>
          <cell r="C30">
            <v>1.06E-2</v>
          </cell>
        </row>
        <row r="31">
          <cell r="B31">
            <v>-2.8400000000000002E-2</v>
          </cell>
          <cell r="C31">
            <v>-5.2600000000000001E-2</v>
          </cell>
        </row>
        <row r="32">
          <cell r="B32">
            <v>-8.4900000000000003E-2</v>
          </cell>
          <cell r="C32">
            <v>-2.6499999999999999E-2</v>
          </cell>
        </row>
        <row r="33">
          <cell r="B33">
            <v>0.11799999999999999</v>
          </cell>
          <cell r="C33">
            <v>5.3800000000000001E-2</v>
          </cell>
        </row>
        <row r="34">
          <cell r="B34">
            <v>0.1231</v>
          </cell>
          <cell r="C34">
            <v>4.9700000000000001E-2</v>
          </cell>
        </row>
        <row r="35">
          <cell r="B35">
            <v>-6.4100000000000004E-2</v>
          </cell>
          <cell r="C35">
            <v>-7.5700000000000003E-2</v>
          </cell>
        </row>
        <row r="36">
          <cell r="B36">
            <v>6.3799999999999996E-2</v>
          </cell>
          <cell r="C36">
            <v>1.4999999999999999E-2</v>
          </cell>
        </row>
        <row r="37">
          <cell r="B37">
            <v>-4.87E-2</v>
          </cell>
          <cell r="C37">
            <v>-7.0000000000000001E-3</v>
          </cell>
        </row>
        <row r="38">
          <cell r="B38">
            <v>4.0899999999999999E-2</v>
          </cell>
          <cell r="C38">
            <v>-6.1999999999999998E-3</v>
          </cell>
        </row>
        <row r="39">
          <cell r="B39">
            <v>-0.12609999999999999</v>
          </cell>
          <cell r="C39">
            <v>-2.92E-2</v>
          </cell>
        </row>
        <row r="40">
          <cell r="B40">
            <v>-2.0000000000000001E-4</v>
          </cell>
          <cell r="C40">
            <v>2.3E-3</v>
          </cell>
        </row>
        <row r="41">
          <cell r="B41">
            <v>4.41E-2</v>
          </cell>
          <cell r="C41">
            <v>3.2500000000000001E-2</v>
          </cell>
        </row>
        <row r="42">
          <cell r="B42">
            <v>-2.5999999999999999E-2</v>
          </cell>
          <cell r="C42">
            <v>2.3699999999999999E-2</v>
          </cell>
        </row>
        <row r="43">
          <cell r="B43">
            <v>5.74E-2</v>
          </cell>
          <cell r="C43">
            <v>3.1800000000000002E-2</v>
          </cell>
        </row>
        <row r="44">
          <cell r="B44">
            <v>0.1157</v>
          </cell>
          <cell r="C44">
            <v>-7.4999999999999997E-3</v>
          </cell>
        </row>
        <row r="45">
          <cell r="B45">
            <v>1.9900000000000001E-2</v>
          </cell>
          <cell r="C45">
            <v>4.5600000000000002E-2</v>
          </cell>
        </row>
        <row r="46">
          <cell r="B46">
            <v>9.6100000000000005E-2</v>
          </cell>
          <cell r="C46">
            <v>7.3000000000000001E-3</v>
          </cell>
        </row>
        <row r="47">
          <cell r="B47">
            <v>-3.7000000000000002E-3</v>
          </cell>
          <cell r="C47">
            <v>5.8999999999999999E-3</v>
          </cell>
        </row>
        <row r="48">
          <cell r="B48">
            <v>-2.2700000000000001E-2</v>
          </cell>
          <cell r="C48">
            <v>-2.0999999999999999E-3</v>
          </cell>
        </row>
        <row r="49">
          <cell r="B49">
            <v>-0.11509999999999999</v>
          </cell>
          <cell r="C49">
            <v>2.8899999999999999E-2</v>
          </cell>
        </row>
        <row r="50">
          <cell r="B50">
            <v>-2.0500000000000001E-2</v>
          </cell>
          <cell r="C50">
            <v>6.0000000000000001E-3</v>
          </cell>
        </row>
        <row r="51">
          <cell r="B51">
            <v>2.5000000000000001E-2</v>
          </cell>
          <cell r="C51">
            <v>1.9400000000000001E-2</v>
          </cell>
        </row>
        <row r="52">
          <cell r="B52">
            <v>-3.0800000000000001E-2</v>
          </cell>
          <cell r="C52">
            <v>-2.5999999999999999E-3</v>
          </cell>
        </row>
        <row r="53">
          <cell r="B53">
            <v>4.1700000000000001E-2</v>
          </cell>
          <cell r="C53">
            <v>-2.9999999999999997E-4</v>
          </cell>
        </row>
        <row r="54">
          <cell r="B54">
            <v>8.6099999999999996E-2</v>
          </cell>
          <cell r="C54">
            <v>3.6200000000000003E-2</v>
          </cell>
        </row>
        <row r="55">
          <cell r="B55">
            <v>-4.3499999999999997E-2</v>
          </cell>
          <cell r="C55">
            <v>-1.7000000000000001E-2</v>
          </cell>
        </row>
        <row r="56">
          <cell r="B56">
            <v>-6.9699999999999998E-2</v>
          </cell>
          <cell r="C56">
            <v>-1.7299999999999999E-2</v>
          </cell>
        </row>
        <row r="57">
          <cell r="B57">
            <v>-4.7600000000000003E-2</v>
          </cell>
          <cell r="C57">
            <v>-1.2800000000000001E-2</v>
          </cell>
        </row>
        <row r="58">
          <cell r="B58">
            <v>5.0599999999999999E-2</v>
          </cell>
          <cell r="C58">
            <v>4.1599999999999998E-2</v>
          </cell>
        </row>
        <row r="59">
          <cell r="B59">
            <v>-9.5899999999999999E-2</v>
          </cell>
          <cell r="C59">
            <v>1.34E-2</v>
          </cell>
        </row>
        <row r="60">
          <cell r="B60">
            <v>6.5000000000000002E-2</v>
          </cell>
          <cell r="C60">
            <v>4.3E-3</v>
          </cell>
        </row>
        <row r="61">
          <cell r="B61">
            <v>7.5999999999999998E-2</v>
          </cell>
          <cell r="C61">
            <v>1.23E-2</v>
          </cell>
        </row>
        <row r="62">
          <cell r="B62">
            <v>-4.9099999999999998E-2</v>
          </cell>
          <cell r="C62">
            <v>1.2200000000000001E-2</v>
          </cell>
        </row>
        <row r="63">
          <cell r="B63">
            <v>8.6499999999999994E-2</v>
          </cell>
          <cell r="C63">
            <v>3.4200000000000001E-2</v>
          </cell>
        </row>
        <row r="64">
          <cell r="B64">
            <v>7.1900000000000006E-2</v>
          </cell>
          <cell r="C64">
            <v>7.4999999999999997E-3</v>
          </cell>
        </row>
      </sheetData>
      <sheetData sheetId="2" refreshError="1">
        <row r="17">
          <cell r="I17">
            <v>-0.17547568710359404</v>
          </cell>
          <cell r="J17">
            <v>-1.4799154334038065E-2</v>
          </cell>
          <cell r="K17">
            <v>7.1881606765327732E-2</v>
          </cell>
        </row>
        <row r="18">
          <cell r="I18">
            <v>-6.4129668780831553E-2</v>
          </cell>
          <cell r="J18">
            <v>7.8928823114869609E-2</v>
          </cell>
          <cell r="K18">
            <v>-5.0035236081747696E-2</v>
          </cell>
        </row>
        <row r="19">
          <cell r="I19">
            <v>8.5976039464411541E-2</v>
          </cell>
          <cell r="J19">
            <v>-2.8893587033121906E-2</v>
          </cell>
          <cell r="K19">
            <v>4.5102184637068346E-2</v>
          </cell>
        </row>
        <row r="21">
          <cell r="C21">
            <v>20</v>
          </cell>
        </row>
        <row r="22">
          <cell r="C22">
            <v>-5</v>
          </cell>
        </row>
        <row r="23">
          <cell r="C23">
            <v>0</v>
          </cell>
        </row>
      </sheetData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CC7D5-A032-43B2-8036-F6C97E6D41A9}">
  <sheetPr codeName="Sheet10"/>
  <dimension ref="A1:D18"/>
  <sheetViews>
    <sheetView zoomScale="84" zoomScaleNormal="100" workbookViewId="0">
      <selection activeCell="A3" sqref="A3"/>
    </sheetView>
  </sheetViews>
  <sheetFormatPr defaultColWidth="11.453125" defaultRowHeight="12.5" x14ac:dyDescent="0.25"/>
  <cols>
    <col min="1" max="1" width="24.453125" style="38" customWidth="1"/>
    <col min="2" max="2" width="36.81640625" style="38" customWidth="1"/>
    <col min="3" max="3" width="44" style="38" customWidth="1"/>
    <col min="4" max="4" width="20.453125" style="38" customWidth="1"/>
    <col min="5" max="16384" width="11.453125" style="38"/>
  </cols>
  <sheetData>
    <row r="1" spans="1:4" ht="209" customHeight="1" x14ac:dyDescent="0.25">
      <c r="A1" s="52" t="s">
        <v>119</v>
      </c>
      <c r="B1" s="52"/>
      <c r="C1" s="52"/>
      <c r="D1" s="52"/>
    </row>
    <row r="2" spans="1:4" ht="21" x14ac:dyDescent="0.5">
      <c r="A2" s="43" t="s">
        <v>110</v>
      </c>
      <c r="B2" s="45" t="s">
        <v>108</v>
      </c>
      <c r="C2" s="44" t="s">
        <v>111</v>
      </c>
      <c r="D2" s="43" t="s">
        <v>113</v>
      </c>
    </row>
    <row r="3" spans="1:4" ht="20" x14ac:dyDescent="0.4">
      <c r="A3" s="47" t="s">
        <v>93</v>
      </c>
      <c r="B3" s="46" t="s">
        <v>109</v>
      </c>
      <c r="C3" s="48" t="s">
        <v>112</v>
      </c>
      <c r="D3" s="49">
        <v>40452</v>
      </c>
    </row>
    <row r="15" spans="1:4" x14ac:dyDescent="0.25">
      <c r="A15"/>
      <c r="B15"/>
      <c r="C15"/>
    </row>
    <row r="16" spans="1:4" x14ac:dyDescent="0.25">
      <c r="A16"/>
      <c r="B16"/>
      <c r="C16"/>
    </row>
    <row r="17" spans="1:3" x14ac:dyDescent="0.25">
      <c r="A17"/>
      <c r="B17"/>
      <c r="C17"/>
    </row>
    <row r="18" spans="1:3" x14ac:dyDescent="0.25">
      <c r="A18"/>
      <c r="B18"/>
      <c r="C18"/>
    </row>
  </sheetData>
  <mergeCells count="1">
    <mergeCell ref="A1:D1"/>
  </mergeCells>
  <phoneticPr fontId="3" type="noConversion"/>
  <dataValidations count="2">
    <dataValidation type="list" allowBlank="1" showInputMessage="1" showErrorMessage="1" sqref="B3" xr:uid="{05E9AFCC-3E7E-5B47-B5A8-7790A8D2F4EA}">
      <formula1>"Base,Parallel Up,Parallel Down,Steepener Shock,Flatterner Shock,Short Rates Shock Up,Short Rates Shock Down"</formula1>
    </dataValidation>
    <dataValidation type="list" allowBlank="1" showInputMessage="1" showErrorMessage="1" sqref="A3" xr:uid="{46836081-6C39-5940-B022-6EF3BED8296D}">
      <formula1>"IRCAD,IRUSD,IRJPY,IREUR,IRGBP,IRHKD,IRAUD"</formula1>
    </dataValidation>
  </dataValidations>
  <hyperlinks>
    <hyperlink ref="C3" location="SpotFX!A1" display="SpotFX" xr:uid="{12468F54-29D7-C14F-A304-858C6AA1C4B5}"/>
  </hyperlinks>
  <pageMargins left="0.7" right="0.7" top="0.75" bottom="0.75" header="0.3" footer="0.3"/>
  <pageSetup orientation="portrait" r:id="rId1"/>
  <headerFooter>
    <oddFooter>&amp;L&amp;1#&amp;"Calibri"&amp;10&amp;K000000Internal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6697" r:id="rId4" name="Button 9">
              <controlPr defaultSize="0" print="0" autoFill="0" autoPict="0" macro="[0]!PrintCurve" altText="Click to Recalc">
                <anchor moveWithCells="1" sizeWithCells="1">
                  <from>
                    <xdr:col>1</xdr:col>
                    <xdr:colOff>762000</xdr:colOff>
                    <xdr:row>4</xdr:row>
                    <xdr:rowOff>50800</xdr:rowOff>
                  </from>
                  <to>
                    <xdr:col>2</xdr:col>
                    <xdr:colOff>1231900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H31"/>
  <sheetViews>
    <sheetView topLeftCell="A5" zoomScale="95" workbookViewId="0">
      <selection activeCell="B11" sqref="B11"/>
    </sheetView>
  </sheetViews>
  <sheetFormatPr defaultColWidth="8.81640625" defaultRowHeight="12.5" x14ac:dyDescent="0.25"/>
  <cols>
    <col min="1" max="1" width="9.6328125" bestFit="1" customWidth="1"/>
    <col min="2" max="2" width="12.81640625" bestFit="1" customWidth="1"/>
    <col min="3" max="3" width="16.36328125" bestFit="1" customWidth="1"/>
    <col min="4" max="4" width="15.1796875" customWidth="1"/>
    <col min="5" max="5" width="15.453125" bestFit="1" customWidth="1"/>
    <col min="6" max="6" width="18.81640625" customWidth="1"/>
    <col min="7" max="7" width="19.81640625" bestFit="1" customWidth="1"/>
    <col min="8" max="8" width="22.36328125" bestFit="1" customWidth="1"/>
  </cols>
  <sheetData>
    <row r="1" spans="1:8" x14ac:dyDescent="0.25">
      <c r="A1" s="53" t="s">
        <v>11</v>
      </c>
      <c r="B1" s="53"/>
      <c r="C1" s="53"/>
      <c r="D1" s="53"/>
    </row>
    <row r="2" spans="1:8" ht="13" thickBot="1" x14ac:dyDescent="0.3">
      <c r="A2" s="54"/>
      <c r="B2" s="54"/>
      <c r="C2" s="54"/>
      <c r="D2" s="54"/>
    </row>
    <row r="3" spans="1:8" ht="13" x14ac:dyDescent="0.3">
      <c r="A3" s="6" t="s">
        <v>0</v>
      </c>
      <c r="B3" s="7" t="s">
        <v>1</v>
      </c>
      <c r="C3" s="8" t="s">
        <v>2</v>
      </c>
      <c r="D3" s="9" t="s">
        <v>3</v>
      </c>
    </row>
    <row r="4" spans="1:8" ht="13" x14ac:dyDescent="0.3">
      <c r="A4" s="10" t="s">
        <v>4</v>
      </c>
      <c r="B4" s="11" t="s">
        <v>101</v>
      </c>
      <c r="C4" s="12" t="s">
        <v>5</v>
      </c>
      <c r="D4" s="13" t="s">
        <v>100</v>
      </c>
    </row>
    <row r="5" spans="1:8" ht="13" x14ac:dyDescent="0.3">
      <c r="A5" s="10" t="s">
        <v>6</v>
      </c>
      <c r="B5" s="11" t="s">
        <v>7</v>
      </c>
      <c r="C5" s="12" t="s">
        <v>8</v>
      </c>
      <c r="D5" s="13"/>
    </row>
    <row r="6" spans="1:8" ht="13.5" thickBot="1" x14ac:dyDescent="0.35">
      <c r="A6" s="14" t="s">
        <v>9</v>
      </c>
      <c r="B6" s="30">
        <f>Input!SessionDate</f>
        <v>40452</v>
      </c>
      <c r="C6" s="15"/>
      <c r="D6" s="16"/>
    </row>
    <row r="7" spans="1:8" ht="13" x14ac:dyDescent="0.3">
      <c r="A7" s="1"/>
    </row>
    <row r="8" spans="1:8" ht="13" thickBot="1" x14ac:dyDescent="0.3">
      <c r="E8" s="38"/>
      <c r="F8" s="38"/>
      <c r="G8" s="38"/>
    </row>
    <row r="9" spans="1:8" ht="13" x14ac:dyDescent="0.3">
      <c r="A9" s="17" t="s">
        <v>10</v>
      </c>
      <c r="B9" s="42" t="s">
        <v>109</v>
      </c>
      <c r="C9" s="18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 s="36">
        <v>1</v>
      </c>
      <c r="B10" s="38">
        <v>0.01</v>
      </c>
      <c r="C10" s="20">
        <v>0.03</v>
      </c>
      <c r="D10">
        <v>1E-4</v>
      </c>
      <c r="E10" s="38">
        <v>1E-4</v>
      </c>
      <c r="F10" s="38">
        <v>3.397740499917129E-2</v>
      </c>
      <c r="G10" s="38">
        <v>3.9979459090155718E-2</v>
      </c>
      <c r="H10">
        <v>1E-4</v>
      </c>
    </row>
    <row r="11" spans="1:8" x14ac:dyDescent="0.25">
      <c r="A11" s="36">
        <v>7</v>
      </c>
      <c r="B11" s="38">
        <v>0.01</v>
      </c>
      <c r="C11" s="20">
        <v>0.03</v>
      </c>
      <c r="D11">
        <v>1E-4</v>
      </c>
      <c r="E11" s="38">
        <v>1E-4</v>
      </c>
      <c r="F11" s="38">
        <v>3.3842159509018581E-2</v>
      </c>
      <c r="G11" s="38">
        <v>3.9856508644562347E-2</v>
      </c>
      <c r="H11">
        <v>1E-4</v>
      </c>
    </row>
    <row r="12" spans="1:8" x14ac:dyDescent="0.25">
      <c r="A12" s="36">
        <v>30</v>
      </c>
      <c r="B12" s="38">
        <v>1.0500000000000001E-2</v>
      </c>
      <c r="C12" s="20">
        <v>3.0499999999999999E-2</v>
      </c>
      <c r="D12">
        <v>1E-4</v>
      </c>
      <c r="E12" s="38">
        <v>1E-4</v>
      </c>
      <c r="F12" s="38">
        <v>3.3828836933770957E-2</v>
      </c>
      <c r="G12" s="38">
        <v>3.9889851757973598E-2</v>
      </c>
      <c r="H12">
        <v>1E-4</v>
      </c>
    </row>
    <row r="13" spans="1:8" x14ac:dyDescent="0.25">
      <c r="A13" s="36">
        <v>91</v>
      </c>
      <c r="B13" s="38">
        <v>1.0200000000000001E-2</v>
      </c>
      <c r="C13" s="20">
        <v>3.0200000000000001E-2</v>
      </c>
      <c r="D13">
        <v>1E-4</v>
      </c>
      <c r="E13" s="38">
        <v>1E-4</v>
      </c>
      <c r="F13" s="38">
        <v>3.2205939854589215E-2</v>
      </c>
      <c r="G13" s="38">
        <v>3.8387218049626554E-2</v>
      </c>
      <c r="H13">
        <v>1E-4</v>
      </c>
    </row>
    <row r="14" spans="1:8" x14ac:dyDescent="0.25">
      <c r="A14" s="36">
        <v>182</v>
      </c>
      <c r="B14" s="38">
        <v>1.1039999999999999E-2</v>
      </c>
      <c r="C14" s="20">
        <v>3.1039999999999998E-2</v>
      </c>
      <c r="D14">
        <v>1E-4</v>
      </c>
      <c r="E14" s="38">
        <v>1E-4</v>
      </c>
      <c r="F14" s="38">
        <v>3.1172372917163751E-2</v>
      </c>
      <c r="G14" s="38">
        <v>3.7523975379239773E-2</v>
      </c>
      <c r="H14">
        <v>1E-4</v>
      </c>
    </row>
    <row r="15" spans="1:8" x14ac:dyDescent="0.25">
      <c r="A15" s="36">
        <v>365</v>
      </c>
      <c r="B15" s="38">
        <v>1.319E-2</v>
      </c>
      <c r="C15" s="20">
        <v>3.3189999999999997E-2</v>
      </c>
      <c r="D15">
        <v>1E-4</v>
      </c>
      <c r="E15" s="38">
        <v>9.8957415864363817E-4</v>
      </c>
      <c r="F15" s="38">
        <v>2.9890425841356365E-2</v>
      </c>
      <c r="G15" s="38">
        <v>3.6554023492142151E-2</v>
      </c>
      <c r="H15">
        <v>1E-4</v>
      </c>
    </row>
    <row r="16" spans="1:8" x14ac:dyDescent="0.25">
      <c r="A16" s="36">
        <v>730</v>
      </c>
      <c r="B16" s="38">
        <v>1.413E-2</v>
      </c>
      <c r="C16" s="20">
        <v>3.4130000000000001E-2</v>
      </c>
      <c r="D16">
        <v>1E-4</v>
      </c>
      <c r="E16" s="38">
        <v>7.6144882294830966E-3</v>
      </c>
      <c r="F16" s="38">
        <v>2.5145511770516903E-2</v>
      </c>
      <c r="G16" s="38">
        <v>3.2325919791378999E-2</v>
      </c>
      <c r="H16">
        <v>1E-4</v>
      </c>
    </row>
    <row r="17" spans="1:8" x14ac:dyDescent="0.25">
      <c r="A17" s="36">
        <v>1095</v>
      </c>
      <c r="B17" s="38">
        <v>1.6109999999999999E-2</v>
      </c>
      <c r="C17" s="20">
        <v>3.6110000000000003E-2</v>
      </c>
      <c r="D17">
        <v>1E-4</v>
      </c>
      <c r="E17" s="38">
        <v>1.4021903759546515E-2</v>
      </c>
      <c r="F17" s="38">
        <v>2.2698096240453484E-2</v>
      </c>
      <c r="G17" s="38">
        <v>3.0280996582230442E-2</v>
      </c>
      <c r="H17">
        <v>1.9390034177695584E-3</v>
      </c>
    </row>
    <row r="18" spans="1:8" x14ac:dyDescent="0.25">
      <c r="A18" s="26">
        <v>1460</v>
      </c>
      <c r="B18" s="38">
        <v>1.804E-2</v>
      </c>
      <c r="C18" s="20">
        <v>3.8040000000000004E-2</v>
      </c>
      <c r="D18">
        <v>1E-4</v>
      </c>
      <c r="E18" s="38">
        <v>1.9399978441342402E-2</v>
      </c>
      <c r="F18" s="38">
        <v>2.11800215586576E-2</v>
      </c>
      <c r="G18" s="38">
        <v>2.907638323514327E-2</v>
      </c>
      <c r="H18">
        <v>7.0036167648567307E-3</v>
      </c>
    </row>
    <row r="19" spans="1:8" x14ac:dyDescent="0.25">
      <c r="A19" s="26">
        <v>1825</v>
      </c>
      <c r="B19" s="38">
        <v>2.01E-2</v>
      </c>
      <c r="C19" s="20">
        <v>4.0099999999999997E-2</v>
      </c>
      <c r="D19">
        <v>9.9999999999999395E-5</v>
      </c>
      <c r="E19" s="38">
        <v>2.4145341703613727E-2</v>
      </c>
      <c r="F19" s="38">
        <v>2.0554658296386273E-2</v>
      </c>
      <c r="G19" s="38">
        <v>2.8695143905805701E-2</v>
      </c>
      <c r="H19">
        <v>1.1504856094194297E-2</v>
      </c>
    </row>
    <row r="20" spans="1:8" x14ac:dyDescent="0.25">
      <c r="A20" s="26">
        <v>2190</v>
      </c>
      <c r="B20" s="38">
        <v>2.2120000000000001E-2</v>
      </c>
      <c r="C20" s="20">
        <v>4.2120000000000005E-2</v>
      </c>
      <c r="D20">
        <v>2.1200000000000004E-3</v>
      </c>
      <c r="E20" s="38">
        <v>2.8256704715101819E-2</v>
      </c>
      <c r="F20" s="38">
        <v>2.0483295284898183E-2</v>
      </c>
      <c r="G20" s="38">
        <v>2.8813904804452894E-2</v>
      </c>
      <c r="H20">
        <v>1.5426095195547107E-2</v>
      </c>
    </row>
    <row r="21" spans="1:8" x14ac:dyDescent="0.25">
      <c r="A21" s="36">
        <v>2555</v>
      </c>
      <c r="B21" s="38">
        <v>2.4049999999999998E-2</v>
      </c>
      <c r="C21">
        <v>4.4049999999999999E-2</v>
      </c>
      <c r="D21">
        <v>4.049999999999998E-3</v>
      </c>
      <c r="E21" s="38">
        <v>3.1815459866135307E-2</v>
      </c>
      <c r="F21" s="38">
        <v>2.0784540133864691E-2</v>
      </c>
      <c r="G21" s="38">
        <v>2.9263218303513354E-2</v>
      </c>
      <c r="H21">
        <v>1.8836781696486643E-2</v>
      </c>
    </row>
    <row r="22" spans="1:8" x14ac:dyDescent="0.25">
      <c r="A22" s="36">
        <v>2920</v>
      </c>
      <c r="B22" s="38">
        <v>2.6009999999999998E-2</v>
      </c>
      <c r="C22">
        <v>4.6009999999999995E-2</v>
      </c>
      <c r="D22">
        <v>6.009999999999998E-3</v>
      </c>
      <c r="E22" s="38">
        <v>3.5043935653191777E-2</v>
      </c>
      <c r="F22" s="38">
        <v>2.1476064346808217E-2</v>
      </c>
      <c r="G22" s="38">
        <v>3.007005849709838E-2</v>
      </c>
      <c r="H22">
        <v>2.1949941502901617E-2</v>
      </c>
    </row>
    <row r="23" spans="1:8" x14ac:dyDescent="0.25">
      <c r="A23" s="36">
        <v>3285</v>
      </c>
      <c r="B23" s="38">
        <v>2.7609999999999999E-2</v>
      </c>
      <c r="C23">
        <v>4.761E-2</v>
      </c>
      <c r="D23">
        <v>7.6099999999999987E-3</v>
      </c>
      <c r="E23" s="38">
        <v>3.7631825589458476E-2</v>
      </c>
      <c r="F23" s="38">
        <v>2.2088174410541523E-2</v>
      </c>
      <c r="G23" s="38">
        <v>3.077197673685593E-2</v>
      </c>
      <c r="H23">
        <v>2.4448023263144068E-2</v>
      </c>
    </row>
    <row r="24" spans="1:8" x14ac:dyDescent="0.25">
      <c r="A24" s="36">
        <v>3650</v>
      </c>
      <c r="B24" s="38">
        <v>2.8639999999999999E-2</v>
      </c>
      <c r="C24">
        <v>4.8640000000000003E-2</v>
      </c>
      <c r="D24">
        <v>8.6399999999999984E-3</v>
      </c>
      <c r="E24" s="38">
        <v>3.9431195045411337E-2</v>
      </c>
      <c r="F24" s="38">
        <v>2.2348804954588658E-2</v>
      </c>
      <c r="G24" s="38">
        <v>3.1102549958716964E-2</v>
      </c>
      <c r="H24">
        <v>2.6177450041283034E-2</v>
      </c>
    </row>
    <row r="25" spans="1:8" x14ac:dyDescent="0.25">
      <c r="A25" s="36">
        <v>5475</v>
      </c>
      <c r="B25" s="38">
        <v>3.2730000000000002E-2</v>
      </c>
      <c r="C25">
        <v>5.2729999999999999E-2</v>
      </c>
      <c r="D25">
        <v>1.2730000000000002E-2</v>
      </c>
      <c r="E25" s="38">
        <v>4.5453914386751698E-2</v>
      </c>
      <c r="F25" s="38">
        <v>2.4506085613248303E-2</v>
      </c>
      <c r="G25" s="38">
        <v>3.3435532375680276E-2</v>
      </c>
      <c r="H25">
        <v>3.2024467624319729E-2</v>
      </c>
    </row>
    <row r="26" spans="1:8" x14ac:dyDescent="0.25">
      <c r="A26" s="36">
        <v>7300</v>
      </c>
      <c r="B26" s="38">
        <v>3.483E-2</v>
      </c>
      <c r="C26">
        <v>5.4830000000000004E-2</v>
      </c>
      <c r="D26">
        <v>1.4829999999999999E-2</v>
      </c>
      <c r="E26" s="38">
        <v>4.8107647749030182E-2</v>
      </c>
      <c r="F26" s="38">
        <v>2.6052352250969822E-2</v>
      </c>
      <c r="G26" s="38">
        <v>3.5032138409972567E-2</v>
      </c>
      <c r="H26">
        <v>3.4627861590027433E-2</v>
      </c>
    </row>
    <row r="27" spans="1:8" x14ac:dyDescent="0.25">
      <c r="A27" s="36">
        <v>10950</v>
      </c>
      <c r="B27" s="38">
        <v>3.4779999999999998E-2</v>
      </c>
      <c r="C27">
        <v>5.4779999999999995E-2</v>
      </c>
      <c r="D27">
        <v>1.4779999999999998E-2</v>
      </c>
      <c r="E27" s="38">
        <v>4.8261748215785119E-2</v>
      </c>
      <c r="F27" s="38">
        <v>2.5798251784214878E-2</v>
      </c>
      <c r="G27" s="38">
        <v>3.4796592531104432E-2</v>
      </c>
      <c r="H27">
        <v>3.4763407468895564E-2</v>
      </c>
    </row>
    <row r="28" spans="1:8" x14ac:dyDescent="0.25">
      <c r="E28" s="38"/>
      <c r="F28" s="38"/>
      <c r="G28" s="38"/>
    </row>
    <row r="29" spans="1:8" x14ac:dyDescent="0.25">
      <c r="E29" s="38"/>
      <c r="F29" s="38"/>
      <c r="G29" s="38"/>
    </row>
    <row r="30" spans="1:8" x14ac:dyDescent="0.25">
      <c r="E30" s="38"/>
      <c r="F30" s="38"/>
      <c r="G30" s="38"/>
    </row>
    <row r="31" spans="1:8" x14ac:dyDescent="0.25">
      <c r="E31" s="38"/>
      <c r="F31" s="38"/>
      <c r="G31" s="38"/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4"/>
  <sheetViews>
    <sheetView topLeftCell="A3" workbookViewId="0">
      <selection activeCell="D12" sqref="D12"/>
    </sheetView>
  </sheetViews>
  <sheetFormatPr defaultColWidth="8.81640625" defaultRowHeight="12.5" x14ac:dyDescent="0.25"/>
  <cols>
    <col min="1" max="1" width="9.6328125" bestFit="1" customWidth="1"/>
    <col min="2" max="2" width="10.1796875" bestFit="1" customWidth="1"/>
    <col min="3" max="3" width="16.36328125" bestFit="1" customWidth="1"/>
    <col min="4" max="4" width="15.6328125" customWidth="1"/>
    <col min="5" max="5" width="16.1796875" customWidth="1"/>
    <col min="6" max="6" width="15" customWidth="1"/>
    <col min="7" max="7" width="20" customWidth="1"/>
    <col min="8" max="8" width="21.453125" customWidth="1"/>
  </cols>
  <sheetData>
    <row r="1" spans="1:8" ht="12.75" customHeight="1" x14ac:dyDescent="0.25">
      <c r="A1" s="55" t="s">
        <v>16</v>
      </c>
      <c r="B1" s="55"/>
      <c r="C1" s="55"/>
      <c r="D1" s="55"/>
    </row>
    <row r="2" spans="1:8" ht="13.5" customHeight="1" thickBot="1" x14ac:dyDescent="0.3">
      <c r="A2" s="56"/>
      <c r="B2" s="56"/>
      <c r="C2" s="56"/>
      <c r="D2" s="56"/>
    </row>
    <row r="3" spans="1:8" ht="13.5" customHeight="1" x14ac:dyDescent="0.3">
      <c r="A3" s="39" t="s">
        <v>0</v>
      </c>
      <c r="B3" s="7" t="s">
        <v>14</v>
      </c>
      <c r="C3" s="8" t="s">
        <v>2</v>
      </c>
      <c r="D3" s="9" t="s">
        <v>3</v>
      </c>
    </row>
    <row r="4" spans="1:8" ht="13.5" customHeight="1" x14ac:dyDescent="0.3">
      <c r="A4" s="40" t="s">
        <v>4</v>
      </c>
      <c r="B4" s="36" t="str">
        <f>IRCAD!B4</f>
        <v>eco2508</v>
      </c>
      <c r="C4" s="37" t="s">
        <v>5</v>
      </c>
      <c r="D4" s="13" t="s">
        <v>17</v>
      </c>
    </row>
    <row r="5" spans="1:8" ht="13" x14ac:dyDescent="0.3">
      <c r="A5" s="40" t="s">
        <v>6</v>
      </c>
      <c r="B5" s="36" t="s">
        <v>7</v>
      </c>
      <c r="C5" s="37" t="s">
        <v>8</v>
      </c>
      <c r="D5" s="13"/>
    </row>
    <row r="6" spans="1:8" ht="13.5" thickBot="1" x14ac:dyDescent="0.35">
      <c r="A6" s="14" t="s">
        <v>18</v>
      </c>
      <c r="B6" s="30">
        <f>Input!SessionDate</f>
        <v>40452</v>
      </c>
      <c r="C6" s="15"/>
      <c r="D6" s="16"/>
    </row>
    <row r="8" spans="1:8" ht="13" thickBot="1" x14ac:dyDescent="0.3"/>
    <row r="9" spans="1:8" ht="13" x14ac:dyDescent="0.3">
      <c r="A9" t="s">
        <v>10</v>
      </c>
      <c r="B9" s="42" t="s">
        <v>109</v>
      </c>
      <c r="C9" s="1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>
        <v>1</v>
      </c>
      <c r="B10" s="38">
        <v>3.5000000000000001E-3</v>
      </c>
      <c r="C10">
        <v>2.35E-2</v>
      </c>
      <c r="D10">
        <v>1E-4</v>
      </c>
      <c r="E10">
        <v>1E-4</v>
      </c>
      <c r="F10">
        <v>2.7477404999171291E-2</v>
      </c>
      <c r="G10">
        <v>3.3479459090155719E-2</v>
      </c>
      <c r="H10">
        <v>1E-4</v>
      </c>
    </row>
    <row r="11" spans="1:8" x14ac:dyDescent="0.25">
      <c r="A11">
        <v>7</v>
      </c>
      <c r="B11" s="38">
        <v>2E-3</v>
      </c>
      <c r="C11">
        <v>2.1999999999999999E-2</v>
      </c>
      <c r="D11">
        <v>1E-4</v>
      </c>
      <c r="E11">
        <v>1E-4</v>
      </c>
      <c r="F11">
        <v>2.5842159509018581E-2</v>
      </c>
      <c r="G11">
        <v>3.1856508644562347E-2</v>
      </c>
      <c r="H11">
        <v>1E-4</v>
      </c>
    </row>
    <row r="12" spans="1:8" x14ac:dyDescent="0.25">
      <c r="A12">
        <v>30</v>
      </c>
      <c r="B12" s="38">
        <v>2.2499999999999998E-3</v>
      </c>
      <c r="C12">
        <v>2.2249999999999999E-2</v>
      </c>
      <c r="D12">
        <v>1E-4</v>
      </c>
      <c r="E12">
        <v>1E-4</v>
      </c>
      <c r="F12">
        <v>2.5578836933770954E-2</v>
      </c>
      <c r="G12">
        <v>3.1639851757973597E-2</v>
      </c>
      <c r="H12">
        <v>1E-4</v>
      </c>
    </row>
    <row r="13" spans="1:8" x14ac:dyDescent="0.25">
      <c r="A13">
        <v>91</v>
      </c>
      <c r="B13" s="38">
        <v>1.67E-3</v>
      </c>
      <c r="C13">
        <v>2.1670000000000002E-2</v>
      </c>
      <c r="D13">
        <v>1E-4</v>
      </c>
      <c r="E13">
        <v>1E-4</v>
      </c>
      <c r="F13">
        <v>2.3675939854589215E-2</v>
      </c>
      <c r="G13">
        <v>2.9857218049626558E-2</v>
      </c>
      <c r="H13">
        <v>1E-4</v>
      </c>
    </row>
    <row r="14" spans="1:8" x14ac:dyDescent="0.25">
      <c r="A14">
        <v>182</v>
      </c>
      <c r="B14" s="38">
        <v>2.0300000000000001E-3</v>
      </c>
      <c r="C14">
        <v>2.2030000000000001E-2</v>
      </c>
      <c r="D14">
        <v>1E-4</v>
      </c>
      <c r="E14">
        <v>1E-4</v>
      </c>
      <c r="F14">
        <v>2.2162372917163754E-2</v>
      </c>
      <c r="G14">
        <v>2.8513975379239775E-2</v>
      </c>
      <c r="H14">
        <v>1E-4</v>
      </c>
    </row>
    <row r="15" spans="1:8" x14ac:dyDescent="0.25">
      <c r="A15">
        <v>365</v>
      </c>
      <c r="B15" s="38">
        <v>2.6199999999999999E-3</v>
      </c>
      <c r="C15">
        <v>2.2620000000000001E-2</v>
      </c>
      <c r="D15">
        <v>1E-4</v>
      </c>
      <c r="E15">
        <v>1E-4</v>
      </c>
      <c r="F15">
        <v>1.9320425841356365E-2</v>
      </c>
      <c r="G15">
        <v>2.5984023492142148E-2</v>
      </c>
      <c r="H15">
        <v>1E-4</v>
      </c>
    </row>
    <row r="16" spans="1:8" x14ac:dyDescent="0.25">
      <c r="A16">
        <v>730</v>
      </c>
      <c r="B16" s="38">
        <v>4.3800000000000002E-3</v>
      </c>
      <c r="C16">
        <v>2.4379999999999999E-2</v>
      </c>
      <c r="D16">
        <v>1E-4</v>
      </c>
      <c r="E16">
        <v>1E-4</v>
      </c>
      <c r="F16">
        <v>1.5395511770516904E-2</v>
      </c>
      <c r="G16">
        <v>2.2575919791379004E-2</v>
      </c>
      <c r="H16">
        <v>1E-4</v>
      </c>
    </row>
    <row r="17" spans="1:8" x14ac:dyDescent="0.25">
      <c r="A17">
        <v>1095</v>
      </c>
      <c r="B17" s="38">
        <v>6.5799999999999999E-3</v>
      </c>
      <c r="C17">
        <v>2.6579999999999999E-2</v>
      </c>
      <c r="D17">
        <v>1E-4</v>
      </c>
      <c r="E17">
        <v>4.4919037595465144E-3</v>
      </c>
      <c r="F17">
        <v>1.3168096240453484E-2</v>
      </c>
      <c r="G17">
        <v>2.0750996582230442E-2</v>
      </c>
      <c r="H17">
        <v>1E-4</v>
      </c>
    </row>
    <row r="18" spans="1:8" x14ac:dyDescent="0.25">
      <c r="A18">
        <v>1460</v>
      </c>
      <c r="B18" s="38">
        <v>9.75E-3</v>
      </c>
      <c r="C18">
        <v>2.9749999999999999E-2</v>
      </c>
      <c r="D18">
        <v>1E-4</v>
      </c>
      <c r="E18">
        <v>1.1109978441342403E-2</v>
      </c>
      <c r="F18">
        <v>1.2890021558657597E-2</v>
      </c>
      <c r="G18">
        <v>2.0786383235143271E-2</v>
      </c>
      <c r="H18">
        <v>1E-4</v>
      </c>
    </row>
    <row r="19" spans="1:8" x14ac:dyDescent="0.25">
      <c r="A19">
        <v>1825</v>
      </c>
      <c r="B19" s="38">
        <v>1.295E-2</v>
      </c>
      <c r="C19">
        <v>3.295E-2</v>
      </c>
      <c r="D19">
        <v>1E-4</v>
      </c>
      <c r="E19">
        <v>1.6995341703613727E-2</v>
      </c>
      <c r="F19">
        <v>1.3404658296386273E-2</v>
      </c>
      <c r="G19">
        <v>2.1545143905805704E-2</v>
      </c>
      <c r="H19">
        <v>4.3548560941942972E-3</v>
      </c>
    </row>
    <row r="20" spans="1:8" x14ac:dyDescent="0.25">
      <c r="A20">
        <v>2190</v>
      </c>
      <c r="B20" s="38">
        <v>1.6150000000000001E-2</v>
      </c>
      <c r="C20">
        <v>3.6150000000000002E-2</v>
      </c>
      <c r="D20">
        <v>1E-4</v>
      </c>
      <c r="E20">
        <v>2.2286704715101819E-2</v>
      </c>
      <c r="F20">
        <v>1.4513295284898186E-2</v>
      </c>
      <c r="G20">
        <v>2.2843904804452895E-2</v>
      </c>
      <c r="H20">
        <v>9.4560951955471075E-3</v>
      </c>
    </row>
    <row r="21" spans="1:8" x14ac:dyDescent="0.25">
      <c r="A21">
        <v>2555</v>
      </c>
      <c r="B21" s="38">
        <v>1.9359999999999999E-2</v>
      </c>
      <c r="C21">
        <v>3.9359999999999999E-2</v>
      </c>
      <c r="D21">
        <v>1E-4</v>
      </c>
      <c r="E21">
        <v>2.712545986613531E-2</v>
      </c>
      <c r="F21">
        <v>1.6094540133864691E-2</v>
      </c>
      <c r="G21">
        <v>2.4573218303513354E-2</v>
      </c>
      <c r="H21">
        <v>1.4146781696486643E-2</v>
      </c>
    </row>
    <row r="22" spans="1:8" x14ac:dyDescent="0.25">
      <c r="A22">
        <v>2920</v>
      </c>
      <c r="B22" s="38">
        <v>2.1870000000000001E-2</v>
      </c>
      <c r="C22">
        <v>4.1870000000000004E-2</v>
      </c>
      <c r="D22">
        <v>1.8700000000000001E-3</v>
      </c>
      <c r="E22">
        <v>3.0903935653191782E-2</v>
      </c>
      <c r="F22">
        <v>1.7336064346808219E-2</v>
      </c>
      <c r="G22">
        <v>2.5930058497098382E-2</v>
      </c>
      <c r="H22">
        <v>1.7809941502901619E-2</v>
      </c>
    </row>
    <row r="23" spans="1:8" x14ac:dyDescent="0.25">
      <c r="A23">
        <v>3285</v>
      </c>
      <c r="B23" s="38">
        <v>2.444E-2</v>
      </c>
      <c r="C23">
        <v>4.444E-2</v>
      </c>
      <c r="D23">
        <v>4.4399999999999995E-3</v>
      </c>
      <c r="E23">
        <v>3.4461825589458477E-2</v>
      </c>
      <c r="F23">
        <v>1.8918174410541524E-2</v>
      </c>
      <c r="G23">
        <v>2.7601976736855931E-2</v>
      </c>
      <c r="H23">
        <v>2.1278023263144069E-2</v>
      </c>
    </row>
    <row r="24" spans="1:8" x14ac:dyDescent="0.25">
      <c r="A24">
        <v>3650</v>
      </c>
      <c r="B24" s="38">
        <v>2.683E-2</v>
      </c>
      <c r="C24">
        <v>4.6829999999999997E-2</v>
      </c>
      <c r="D24">
        <v>6.8299999999999993E-3</v>
      </c>
      <c r="E24">
        <v>3.7621195045411338E-2</v>
      </c>
      <c r="F24">
        <v>2.0538804954588659E-2</v>
      </c>
      <c r="G24">
        <v>2.9292549958716965E-2</v>
      </c>
      <c r="H24">
        <v>2.4367450041283035E-2</v>
      </c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4"/>
  <dimension ref="A1:H27"/>
  <sheetViews>
    <sheetView topLeftCell="A4" workbookViewId="0">
      <selection activeCell="B10" sqref="B10"/>
    </sheetView>
  </sheetViews>
  <sheetFormatPr defaultColWidth="9.1796875" defaultRowHeight="12.5" x14ac:dyDescent="0.25"/>
  <cols>
    <col min="1" max="1" width="10.81640625" style="31" bestFit="1" customWidth="1"/>
    <col min="2" max="2" width="12.81640625" style="31" bestFit="1" customWidth="1"/>
    <col min="3" max="3" width="15" style="31" bestFit="1" customWidth="1"/>
    <col min="4" max="4" width="13" style="31" customWidth="1"/>
    <col min="5" max="5" width="16.36328125" style="31" customWidth="1"/>
    <col min="6" max="6" width="17.1796875" style="31" customWidth="1"/>
    <col min="7" max="7" width="23.453125" style="31" customWidth="1"/>
    <col min="8" max="8" width="23.81640625" style="31" customWidth="1"/>
    <col min="9" max="16384" width="9.1796875" style="31"/>
  </cols>
  <sheetData>
    <row r="1" spans="1:8" x14ac:dyDescent="0.25">
      <c r="A1" s="55" t="s">
        <v>93</v>
      </c>
      <c r="B1" s="55"/>
      <c r="C1" s="55"/>
      <c r="D1" s="55"/>
    </row>
    <row r="2" spans="1:8" ht="13" thickBot="1" x14ac:dyDescent="0.3">
      <c r="A2" s="57"/>
      <c r="B2" s="57"/>
      <c r="C2" s="57"/>
      <c r="D2" s="57"/>
    </row>
    <row r="3" spans="1:8" x14ac:dyDescent="0.25">
      <c r="A3" s="17" t="s">
        <v>0</v>
      </c>
      <c r="B3" s="7" t="s">
        <v>93</v>
      </c>
      <c r="C3" s="7" t="s">
        <v>2</v>
      </c>
      <c r="D3" s="9" t="s">
        <v>3</v>
      </c>
    </row>
    <row r="4" spans="1:8" x14ac:dyDescent="0.25">
      <c r="A4" s="19" t="s">
        <v>4</v>
      </c>
      <c r="B4" s="11" t="str">
        <f>IRCAD!B4</f>
        <v>eco2508</v>
      </c>
      <c r="C4" s="11" t="s">
        <v>5</v>
      </c>
      <c r="D4" s="13" t="s">
        <v>17</v>
      </c>
    </row>
    <row r="5" spans="1:8" ht="13" thickBot="1" x14ac:dyDescent="0.3">
      <c r="A5" s="19" t="s">
        <v>6</v>
      </c>
      <c r="B5" s="11" t="s">
        <v>7</v>
      </c>
      <c r="C5" s="27" t="s">
        <v>8</v>
      </c>
      <c r="D5" s="32"/>
    </row>
    <row r="6" spans="1:8" ht="13" thickBot="1" x14ac:dyDescent="0.3">
      <c r="A6" s="28" t="s">
        <v>90</v>
      </c>
      <c r="B6" s="21">
        <f>Input!SessionDate</f>
        <v>40452</v>
      </c>
      <c r="C6" s="27"/>
      <c r="D6" s="16"/>
    </row>
    <row r="7" spans="1:8" x14ac:dyDescent="0.25">
      <c r="A7" s="5"/>
      <c r="B7" s="5"/>
      <c r="C7" s="5"/>
      <c r="D7" s="5"/>
    </row>
    <row r="8" spans="1:8" ht="13" thickBot="1" x14ac:dyDescent="0.3"/>
    <row r="9" spans="1:8" ht="13" x14ac:dyDescent="0.3">
      <c r="A9" s="12" t="s">
        <v>10</v>
      </c>
      <c r="B9" s="42" t="s">
        <v>109</v>
      </c>
      <c r="C9" s="1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 s="36">
        <v>1</v>
      </c>
      <c r="B10" s="38">
        <v>1.17E-3</v>
      </c>
      <c r="C10" s="31">
        <v>1.1169999999999999E-2</v>
      </c>
      <c r="D10" s="31">
        <v>1E-4</v>
      </c>
      <c r="E10" s="31">
        <v>1E-4</v>
      </c>
      <c r="F10" s="31">
        <v>9.1604142420726696E-3</v>
      </c>
      <c r="G10" s="31">
        <v>1.1163153030051907E-2</v>
      </c>
      <c r="H10" s="31">
        <v>1E-4</v>
      </c>
    </row>
    <row r="11" spans="1:8" x14ac:dyDescent="0.25">
      <c r="A11" s="36">
        <v>7</v>
      </c>
      <c r="B11" s="38">
        <v>1.17E-3</v>
      </c>
      <c r="C11" s="29">
        <v>1.1169999999999999E-2</v>
      </c>
      <c r="D11" s="31">
        <v>1E-4</v>
      </c>
      <c r="E11" s="31">
        <v>1E-4</v>
      </c>
      <c r="F11" s="31">
        <v>9.1030373674624299E-3</v>
      </c>
      <c r="G11" s="31">
        <v>1.1122169548187448E-2</v>
      </c>
      <c r="H11" s="31">
        <v>1E-4</v>
      </c>
    </row>
    <row r="12" spans="1:8" x14ac:dyDescent="0.25">
      <c r="A12" s="36">
        <v>30</v>
      </c>
      <c r="B12" s="38">
        <v>1.39E-3</v>
      </c>
      <c r="C12" s="29">
        <v>1.1390000000000001E-2</v>
      </c>
      <c r="D12" s="31">
        <v>1E-4</v>
      </c>
      <c r="E12" s="31">
        <v>1E-4</v>
      </c>
      <c r="F12" s="31">
        <v>9.1052641537210099E-3</v>
      </c>
      <c r="G12" s="31">
        <v>1.1186617252657865E-2</v>
      </c>
      <c r="H12" s="31">
        <v>1E-4</v>
      </c>
    </row>
    <row r="13" spans="1:8" x14ac:dyDescent="0.25">
      <c r="A13" s="36">
        <v>91</v>
      </c>
      <c r="B13" s="38">
        <v>1.24E-3</v>
      </c>
      <c r="C13" s="29">
        <v>1.124E-2</v>
      </c>
      <c r="D13" s="31">
        <v>1E-4</v>
      </c>
      <c r="E13" s="31">
        <v>1E-4</v>
      </c>
      <c r="F13" s="31">
        <v>8.3940350898257278E-3</v>
      </c>
      <c r="G13" s="31">
        <v>1.0635739349875519E-2</v>
      </c>
      <c r="H13" s="31">
        <v>1E-4</v>
      </c>
    </row>
    <row r="14" spans="1:8" x14ac:dyDescent="0.25">
      <c r="A14" s="36">
        <v>182</v>
      </c>
      <c r="B14" s="38">
        <v>1.23E-3</v>
      </c>
      <c r="C14" s="29">
        <v>1.123E-2</v>
      </c>
      <c r="D14" s="31">
        <v>1E-4</v>
      </c>
      <c r="E14" s="31">
        <v>1E-4</v>
      </c>
      <c r="F14" s="31">
        <v>7.5891885103118962E-3</v>
      </c>
      <c r="G14" s="31">
        <v>1.0057991793079925E-2</v>
      </c>
      <c r="H14" s="31">
        <v>1E-4</v>
      </c>
    </row>
    <row r="15" spans="1:8" x14ac:dyDescent="0.25">
      <c r="A15" s="36">
        <v>365</v>
      </c>
      <c r="B15" s="38">
        <v>1.2800000000000001E-3</v>
      </c>
      <c r="C15" s="29">
        <v>1.128E-2</v>
      </c>
      <c r="D15" s="31">
        <v>1E-4</v>
      </c>
      <c r="E15" s="31">
        <v>1E-4</v>
      </c>
      <c r="F15" s="31">
        <v>6.1832109629996685E-3</v>
      </c>
      <c r="G15" s="31">
        <v>9.0680078307140491E-3</v>
      </c>
      <c r="H15" s="31">
        <v>1E-4</v>
      </c>
    </row>
    <row r="16" spans="1:8" x14ac:dyDescent="0.25">
      <c r="A16" s="36">
        <v>730</v>
      </c>
      <c r="B16" s="38">
        <v>1.4400000000000001E-3</v>
      </c>
      <c r="C16" s="29">
        <v>1.1440000000000001E-2</v>
      </c>
      <c r="D16" s="31">
        <v>1E-4</v>
      </c>
      <c r="E16" s="31">
        <v>1.0387747744541815E-3</v>
      </c>
      <c r="F16" s="31">
        <v>3.9314292359768684E-3</v>
      </c>
      <c r="G16" s="31">
        <v>7.5053065971263351E-3</v>
      </c>
      <c r="H16" s="31">
        <v>1E-4</v>
      </c>
    </row>
    <row r="17" spans="1:8" x14ac:dyDescent="0.25">
      <c r="A17" s="36">
        <v>1095</v>
      </c>
      <c r="B17" s="38">
        <v>1.7099999999999999E-3</v>
      </c>
      <c r="C17" s="29">
        <v>1.171E-2</v>
      </c>
      <c r="D17" s="31">
        <v>1E-4</v>
      </c>
      <c r="E17" s="31">
        <v>3.3883184325142726E-3</v>
      </c>
      <c r="F17" s="31">
        <v>2.3231317383742055E-3</v>
      </c>
      <c r="G17" s="31">
        <v>6.4336655274101467E-3</v>
      </c>
      <c r="H17" s="31">
        <v>1E-4</v>
      </c>
    </row>
    <row r="18" spans="1:8" x14ac:dyDescent="0.25">
      <c r="A18" s="36">
        <v>1460</v>
      </c>
      <c r="B18" s="38">
        <v>2.1700000000000001E-3</v>
      </c>
      <c r="C18" s="29">
        <v>1.217E-2</v>
      </c>
      <c r="D18" s="31">
        <v>1E-4</v>
      </c>
      <c r="E18" s="31">
        <v>5.4678686618426439E-3</v>
      </c>
      <c r="F18" s="31">
        <v>1.3203121764001932E-3</v>
      </c>
      <c r="G18" s="31">
        <v>5.8487944117144239E-3</v>
      </c>
      <c r="H18" s="31">
        <v>1E-4</v>
      </c>
    </row>
    <row r="19" spans="1:8" x14ac:dyDescent="0.25">
      <c r="A19" s="36">
        <v>1825</v>
      </c>
      <c r="B19" s="38">
        <v>2.7699999999999999E-3</v>
      </c>
      <c r="C19" s="29">
        <v>1.277E-2</v>
      </c>
      <c r="D19" s="31">
        <v>1E-4</v>
      </c>
      <c r="E19" s="31">
        <v>7.3291756486670535E-3</v>
      </c>
      <c r="F19" s="31">
        <v>7.8106715604266174E-4</v>
      </c>
      <c r="G19" s="31">
        <v>5.6350479686019007E-3</v>
      </c>
      <c r="H19" s="31">
        <v>1E-4</v>
      </c>
    </row>
    <row r="20" spans="1:8" x14ac:dyDescent="0.25">
      <c r="A20" s="26">
        <v>2190</v>
      </c>
      <c r="B20" s="38">
        <v>3.46E-3</v>
      </c>
      <c r="C20" s="29">
        <v>1.346E-2</v>
      </c>
      <c r="D20" s="31">
        <v>1E-4</v>
      </c>
      <c r="E20" s="31">
        <v>9.0014825176993381E-3</v>
      </c>
      <c r="F20" s="31">
        <v>5.8382224207801812E-4</v>
      </c>
      <c r="G20" s="31">
        <v>5.6913016014842983E-3</v>
      </c>
      <c r="H20" s="31">
        <v>1.2286983985157016E-3</v>
      </c>
    </row>
    <row r="21" spans="1:8" x14ac:dyDescent="0.25">
      <c r="A21" s="26">
        <v>2555</v>
      </c>
      <c r="B21" s="38">
        <v>4.5399999999999998E-3</v>
      </c>
      <c r="C21" s="29">
        <v>1.4540000000000001E-2</v>
      </c>
      <c r="D21" s="31">
        <v>1E-4</v>
      </c>
      <c r="E21" s="31">
        <v>1.0846503876518102E-2</v>
      </c>
      <c r="F21" s="31">
        <v>9.7283520830623166E-4</v>
      </c>
      <c r="G21" s="31">
        <v>6.2777394345044507E-3</v>
      </c>
      <c r="H21" s="31">
        <v>2.8022605654955484E-3</v>
      </c>
    </row>
    <row r="22" spans="1:8" x14ac:dyDescent="0.25">
      <c r="A22" s="26">
        <v>2920</v>
      </c>
      <c r="B22" s="38">
        <v>5.9500000000000004E-3</v>
      </c>
      <c r="C22" s="29">
        <v>1.5949999999999999E-2</v>
      </c>
      <c r="D22" s="31">
        <v>1E-4</v>
      </c>
      <c r="E22" s="31">
        <v>1.2852303109832503E-2</v>
      </c>
      <c r="F22" s="31">
        <v>1.8446939653125787E-3</v>
      </c>
      <c r="G22" s="31">
        <v>7.3033528323661273E-3</v>
      </c>
      <c r="H22" s="31">
        <v>4.5966471676338735E-3</v>
      </c>
    </row>
    <row r="23" spans="1:8" x14ac:dyDescent="0.25">
      <c r="A23" s="36">
        <v>3285</v>
      </c>
      <c r="B23" s="38">
        <v>7.8200000000000006E-3</v>
      </c>
      <c r="C23" s="31">
        <v>1.7820000000000003E-2</v>
      </c>
      <c r="D23" s="31">
        <v>1E-4</v>
      </c>
      <c r="E23" s="31">
        <v>1.5186312019291104E-2</v>
      </c>
      <c r="F23" s="31">
        <v>3.2955891438661011E-3</v>
      </c>
      <c r="G23" s="31">
        <v>8.8739922456186442E-3</v>
      </c>
      <c r="H23" s="31">
        <v>6.766007754381357E-3</v>
      </c>
    </row>
    <row r="24" spans="1:8" x14ac:dyDescent="0.25">
      <c r="A24" s="36">
        <v>3650</v>
      </c>
      <c r="B24" s="38">
        <v>9.6100000000000005E-3</v>
      </c>
      <c r="C24" s="31">
        <v>1.9610000000000002E-2</v>
      </c>
      <c r="D24" s="31">
        <v>1E-4</v>
      </c>
      <c r="E24" s="31">
        <v>1.733768252132957E-2</v>
      </c>
      <c r="F24" s="31">
        <v>4.7591899807345843E-3</v>
      </c>
      <c r="G24" s="31">
        <v>1.0430849986238989E-2</v>
      </c>
      <c r="H24" s="31">
        <v>8.7891500137610122E-3</v>
      </c>
    </row>
    <row r="25" spans="1:8" x14ac:dyDescent="0.25">
      <c r="A25" s="36">
        <v>5475</v>
      </c>
      <c r="B25" s="38">
        <v>1.422E-2</v>
      </c>
      <c r="C25" s="31">
        <v>2.4219999999999998E-2</v>
      </c>
      <c r="D25" s="31">
        <v>4.2199999999999998E-3</v>
      </c>
      <c r="E25" s="31">
        <v>2.285547493923186E-2</v>
      </c>
      <c r="F25" s="31">
        <v>8.549248441984127E-3</v>
      </c>
      <c r="G25" s="31">
        <v>1.4455177458560091E-2</v>
      </c>
      <c r="H25" s="31">
        <v>1.3984822541439909E-2</v>
      </c>
    </row>
    <row r="26" spans="1:8" x14ac:dyDescent="0.25">
      <c r="A26" s="36">
        <v>7300</v>
      </c>
      <c r="B26" s="38">
        <v>1.7649999999999999E-2</v>
      </c>
      <c r="C26" s="31">
        <v>2.7650000000000001E-2</v>
      </c>
      <c r="D26" s="31">
        <v>7.6499999999999988E-3</v>
      </c>
      <c r="E26" s="31">
        <v>2.6545561821514175E-2</v>
      </c>
      <c r="F26" s="31">
        <v>1.1744331257987194E-2</v>
      </c>
      <c r="G26" s="31">
        <v>1.7717379469990854E-2</v>
      </c>
      <c r="H26" s="31">
        <v>1.7582620530009144E-2</v>
      </c>
    </row>
    <row r="27" spans="1:8" x14ac:dyDescent="0.25">
      <c r="A27" s="36">
        <v>10950</v>
      </c>
      <c r="B27" s="38">
        <v>1.899E-2</v>
      </c>
      <c r="C27" s="31">
        <v>2.8990000000000002E-2</v>
      </c>
      <c r="D27" s="31">
        <v>8.9899999999999997E-3</v>
      </c>
      <c r="E27" s="31">
        <v>2.7981427192262709E-2</v>
      </c>
      <c r="F27" s="31">
        <v>1.299774318118207E-2</v>
      </c>
      <c r="G27" s="31">
        <v>1.8995530843701477E-2</v>
      </c>
      <c r="H27" s="31">
        <v>1.8984469156298523E-2</v>
      </c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26"/>
  <sheetViews>
    <sheetView topLeftCell="A3" workbookViewId="0">
      <selection activeCell="G10" sqref="G10:G26"/>
    </sheetView>
  </sheetViews>
  <sheetFormatPr defaultColWidth="8.81640625" defaultRowHeight="12.5" x14ac:dyDescent="0.25"/>
  <cols>
    <col min="2" max="2" width="10.1796875" bestFit="1" customWidth="1"/>
    <col min="3" max="3" width="15" bestFit="1" customWidth="1"/>
    <col min="4" max="4" width="13.81640625" customWidth="1"/>
    <col min="5" max="5" width="17" customWidth="1"/>
    <col min="6" max="6" width="14.81640625" customWidth="1"/>
    <col min="7" max="7" width="19.81640625" customWidth="1"/>
    <col min="8" max="8" width="23.81640625" customWidth="1"/>
  </cols>
  <sheetData>
    <row r="1" spans="1:8" x14ac:dyDescent="0.25">
      <c r="A1" s="55" t="s">
        <v>89</v>
      </c>
      <c r="B1" s="55"/>
      <c r="C1" s="55"/>
      <c r="D1" s="55"/>
    </row>
    <row r="2" spans="1:8" ht="13" thickBot="1" x14ac:dyDescent="0.3">
      <c r="A2" s="57"/>
      <c r="B2" s="57"/>
      <c r="C2" s="57"/>
      <c r="D2" s="57"/>
    </row>
    <row r="3" spans="1:8" x14ac:dyDescent="0.25">
      <c r="A3" s="17" t="s">
        <v>0</v>
      </c>
      <c r="B3" s="7" t="s">
        <v>89</v>
      </c>
      <c r="C3" s="7" t="s">
        <v>2</v>
      </c>
      <c r="D3" s="9" t="s">
        <v>3</v>
      </c>
    </row>
    <row r="4" spans="1:8" x14ac:dyDescent="0.25">
      <c r="A4" s="19" t="s">
        <v>4</v>
      </c>
      <c r="B4" s="11" t="str">
        <f>IRCAD!B4</f>
        <v>eco2508</v>
      </c>
      <c r="C4" s="11" t="s">
        <v>5</v>
      </c>
      <c r="D4" s="13" t="s">
        <v>17</v>
      </c>
    </row>
    <row r="5" spans="1:8" ht="13" thickBot="1" x14ac:dyDescent="0.3">
      <c r="A5" s="19" t="s">
        <v>6</v>
      </c>
      <c r="B5" s="11" t="s">
        <v>7</v>
      </c>
      <c r="C5" s="27" t="s">
        <v>8</v>
      </c>
      <c r="D5" s="16"/>
    </row>
    <row r="6" spans="1:8" ht="13" thickBot="1" x14ac:dyDescent="0.3">
      <c r="A6" s="28" t="s">
        <v>90</v>
      </c>
      <c r="B6" s="21">
        <f>Input!SessionDate</f>
        <v>40452</v>
      </c>
      <c r="C6" s="27"/>
      <c r="D6" s="16"/>
    </row>
    <row r="7" spans="1:8" x14ac:dyDescent="0.25">
      <c r="A7" s="5"/>
      <c r="B7" s="5"/>
      <c r="C7" s="5"/>
      <c r="D7" s="5"/>
    </row>
    <row r="8" spans="1:8" ht="13" thickBot="1" x14ac:dyDescent="0.3"/>
    <row r="9" spans="1:8" ht="13" x14ac:dyDescent="0.3">
      <c r="A9" s="12" t="s">
        <v>10</v>
      </c>
      <c r="B9" s="42" t="s">
        <v>109</v>
      </c>
      <c r="C9" s="1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 s="36">
        <v>7</v>
      </c>
      <c r="B10" s="38">
        <v>4.0000000000000001E-3</v>
      </c>
      <c r="C10" s="29">
        <v>2.4E-2</v>
      </c>
      <c r="D10">
        <v>1E-4</v>
      </c>
      <c r="E10">
        <v>1E-4</v>
      </c>
      <c r="F10">
        <v>2.387564082528737E-2</v>
      </c>
      <c r="G10">
        <v>2.8880423870468623E-2</v>
      </c>
      <c r="H10">
        <v>1E-4</v>
      </c>
    </row>
    <row r="11" spans="1:8" x14ac:dyDescent="0.25">
      <c r="A11" s="36">
        <v>30</v>
      </c>
      <c r="B11" s="38">
        <v>5.1500000000000001E-3</v>
      </c>
      <c r="C11" s="29">
        <v>2.5149999999999999E-2</v>
      </c>
      <c r="D11">
        <v>1E-4</v>
      </c>
      <c r="E11">
        <v>1E-4</v>
      </c>
      <c r="F11">
        <v>2.4621204856910453E-2</v>
      </c>
      <c r="G11">
        <v>2.964154313164466E-2</v>
      </c>
      <c r="H11">
        <v>1E-4</v>
      </c>
    </row>
    <row r="12" spans="1:8" x14ac:dyDescent="0.25">
      <c r="A12" s="36">
        <v>91</v>
      </c>
      <c r="B12" s="38">
        <v>3.62E-3</v>
      </c>
      <c r="C12" s="29">
        <v>2.3620000000000002E-2</v>
      </c>
      <c r="D12">
        <v>1E-4</v>
      </c>
      <c r="E12">
        <v>1E-4</v>
      </c>
      <c r="F12">
        <v>2.2048922309676353E-2</v>
      </c>
      <c r="G12">
        <v>2.7109348374688799E-2</v>
      </c>
      <c r="H12">
        <v>1E-4</v>
      </c>
    </row>
    <row r="13" spans="1:8" x14ac:dyDescent="0.25">
      <c r="A13" s="36">
        <v>182</v>
      </c>
      <c r="B13" s="38">
        <v>4.8999999999999998E-3</v>
      </c>
      <c r="C13" s="29">
        <v>2.4899999999999999E-2</v>
      </c>
      <c r="D13">
        <v>1E-4</v>
      </c>
      <c r="E13">
        <v>1E-4</v>
      </c>
      <c r="F13">
        <v>2.1852778662007806E-2</v>
      </c>
      <c r="G13">
        <v>2.6969979482699816E-2</v>
      </c>
      <c r="H13">
        <v>1E-4</v>
      </c>
    </row>
    <row r="14" spans="1:8" x14ac:dyDescent="0.25">
      <c r="A14" s="36">
        <v>365</v>
      </c>
      <c r="B14" s="38">
        <v>6.3600000000000002E-3</v>
      </c>
      <c r="C14" s="29">
        <v>2.6360000000000001E-2</v>
      </c>
      <c r="D14">
        <v>1E-4</v>
      </c>
      <c r="E14">
        <v>1E-4</v>
      </c>
      <c r="F14">
        <v>2.060882035985653E-2</v>
      </c>
      <c r="G14">
        <v>2.5830019576785122E-2</v>
      </c>
      <c r="H14">
        <v>1E-4</v>
      </c>
    </row>
    <row r="15" spans="1:8" x14ac:dyDescent="0.25">
      <c r="A15" s="36">
        <v>730</v>
      </c>
      <c r="B15" s="38">
        <v>7.92E-3</v>
      </c>
      <c r="C15" s="29">
        <v>2.792E-2</v>
      </c>
      <c r="D15">
        <v>1E-4</v>
      </c>
      <c r="E15">
        <v>1.6051008422560053E-3</v>
      </c>
      <c r="F15">
        <v>1.7689797152528469E-2</v>
      </c>
      <c r="G15">
        <v>2.3083266492815835E-2</v>
      </c>
      <c r="H15">
        <v>1E-4</v>
      </c>
    </row>
    <row r="16" spans="1:8" x14ac:dyDescent="0.25">
      <c r="A16" s="36">
        <v>1095</v>
      </c>
      <c r="B16" s="38">
        <v>9.3399999999999993E-3</v>
      </c>
      <c r="C16" s="29">
        <v>2.9339999999999998E-2</v>
      </c>
      <c r="D16">
        <v>1E-4</v>
      </c>
      <c r="E16">
        <v>6.4127445432893785E-3</v>
      </c>
      <c r="F16">
        <v>1.5621530371266382E-2</v>
      </c>
      <c r="G16">
        <v>2.1149163818525364E-2</v>
      </c>
      <c r="H16">
        <v>1E-4</v>
      </c>
    </row>
    <row r="17" spans="1:8" x14ac:dyDescent="0.25">
      <c r="A17" s="36">
        <v>1460</v>
      </c>
      <c r="B17" s="38">
        <v>1.183E-2</v>
      </c>
      <c r="C17" s="29">
        <v>3.1829999999999997E-2</v>
      </c>
      <c r="D17">
        <v>1E-4</v>
      </c>
      <c r="E17">
        <v>1.1541044110421081E-2</v>
      </c>
      <c r="F17">
        <v>1.5394865470457502E-2</v>
      </c>
      <c r="G17">
        <v>2.1026986029286057E-2</v>
      </c>
      <c r="H17">
        <v>2.6330139707139415E-3</v>
      </c>
    </row>
    <row r="18" spans="1:8" x14ac:dyDescent="0.25">
      <c r="A18" s="36">
        <v>1825</v>
      </c>
      <c r="B18" s="38">
        <v>1.453E-2</v>
      </c>
      <c r="C18" s="29">
        <v>3.4529999999999998E-2</v>
      </c>
      <c r="D18">
        <v>1E-4</v>
      </c>
      <c r="E18">
        <v>1.62957538792802E-2</v>
      </c>
      <c r="F18">
        <v>1.5979124718364941E-2</v>
      </c>
      <c r="G18">
        <v>2.1692619921504751E-2</v>
      </c>
      <c r="H18">
        <v>7.3673800784952474E-3</v>
      </c>
    </row>
    <row r="19" spans="1:8" x14ac:dyDescent="0.25">
      <c r="A19" s="26">
        <v>2190</v>
      </c>
      <c r="B19" s="38">
        <v>1.7180000000000001E-2</v>
      </c>
      <c r="C19" s="29">
        <v>3.7180000000000005E-2</v>
      </c>
      <c r="D19">
        <v>1E-4</v>
      </c>
      <c r="E19">
        <v>2.0545963456252148E-2</v>
      </c>
      <c r="F19">
        <v>1.6981384163859175E-2</v>
      </c>
      <c r="G19">
        <v>2.2758254003710746E-2</v>
      </c>
      <c r="H19">
        <v>1.1601745996289256E-2</v>
      </c>
    </row>
    <row r="20" spans="1:8" x14ac:dyDescent="0.25">
      <c r="A20" s="26">
        <v>2555</v>
      </c>
      <c r="B20" s="38">
        <v>1.915E-2</v>
      </c>
      <c r="C20" s="29">
        <v>3.9150000000000004E-2</v>
      </c>
      <c r="D20">
        <v>1E-4</v>
      </c>
      <c r="E20">
        <v>2.3762207927876262E-2</v>
      </c>
      <c r="F20">
        <v>1.7668122529711575E-2</v>
      </c>
      <c r="G20">
        <v>2.3494348586261128E-2</v>
      </c>
      <c r="H20">
        <v>1.4805651413738873E-2</v>
      </c>
    </row>
    <row r="21" spans="1:8" x14ac:dyDescent="0.25">
      <c r="A21" s="26">
        <v>2920</v>
      </c>
      <c r="B21" s="38">
        <v>2.0910000000000002E-2</v>
      </c>
      <c r="C21" s="29">
        <v>4.0910000000000002E-2</v>
      </c>
      <c r="D21">
        <v>9.1000000000000109E-4</v>
      </c>
      <c r="E21">
        <v>2.6492784098275532E-2</v>
      </c>
      <c r="F21">
        <v>1.8428717364151932E-2</v>
      </c>
      <c r="G21">
        <v>2.4293382080915318E-2</v>
      </c>
      <c r="H21">
        <v>1.7526617919084685E-2</v>
      </c>
    </row>
    <row r="22" spans="1:8" x14ac:dyDescent="0.25">
      <c r="A22" s="36">
        <v>3285</v>
      </c>
      <c r="B22" s="38">
        <v>2.2169999999999999E-2</v>
      </c>
      <c r="C22">
        <v>4.2169999999999999E-2</v>
      </c>
      <c r="D22">
        <v>2.1699999999999983E-3</v>
      </c>
      <c r="E22">
        <v>2.8508669579812924E-2</v>
      </c>
      <c r="F22">
        <v>1.8910379838608472E-2</v>
      </c>
      <c r="G22">
        <v>2.4804980614046606E-2</v>
      </c>
      <c r="H22">
        <v>1.9535019385953391E-2</v>
      </c>
    </row>
    <row r="23" spans="1:8" x14ac:dyDescent="0.25">
      <c r="A23" s="36">
        <v>3650</v>
      </c>
      <c r="B23" s="38">
        <v>2.3060000000000001E-2</v>
      </c>
      <c r="C23">
        <v>4.3060000000000001E-2</v>
      </c>
      <c r="D23">
        <v>3.0600000000000002E-3</v>
      </c>
      <c r="E23">
        <v>2.9987353784746554E-2</v>
      </c>
      <c r="F23">
        <v>1.919420996422137E-2</v>
      </c>
      <c r="G23">
        <v>2.511212496559747E-2</v>
      </c>
      <c r="H23">
        <v>2.1007875034402532E-2</v>
      </c>
    </row>
    <row r="24" spans="1:8" x14ac:dyDescent="0.25">
      <c r="A24" s="36">
        <v>5475</v>
      </c>
      <c r="B24" s="38">
        <v>2.7349999999999999E-2</v>
      </c>
      <c r="C24">
        <v>4.7350000000000003E-2</v>
      </c>
      <c r="D24">
        <v>7.3499999999999989E-3</v>
      </c>
      <c r="E24">
        <v>3.5756176917135771E-2</v>
      </c>
      <c r="F24">
        <v>2.1961461392256236E-2</v>
      </c>
      <c r="G24">
        <v>2.7937943646400228E-2</v>
      </c>
      <c r="H24">
        <v>2.676205635359977E-2</v>
      </c>
    </row>
    <row r="25" spans="1:8" x14ac:dyDescent="0.25">
      <c r="A25" s="36">
        <v>7300</v>
      </c>
      <c r="B25" s="38">
        <v>2.9590000000000002E-2</v>
      </c>
      <c r="C25">
        <v>4.9590000000000002E-2</v>
      </c>
      <c r="D25">
        <v>9.5900000000000013E-3</v>
      </c>
      <c r="E25">
        <v>3.8419866838273094E-2</v>
      </c>
      <c r="F25">
        <v>2.3765186621976225E-2</v>
      </c>
      <c r="G25">
        <v>2.975844867497714E-2</v>
      </c>
      <c r="H25">
        <v>2.9421551325022863E-2</v>
      </c>
    </row>
    <row r="26" spans="1:8" x14ac:dyDescent="0.25">
      <c r="A26" s="36">
        <v>10950</v>
      </c>
      <c r="B26" s="38">
        <v>2.9610000000000001E-2</v>
      </c>
      <c r="C26">
        <v>4.9610000000000001E-2</v>
      </c>
      <c r="D26">
        <v>9.6100000000000005E-3</v>
      </c>
      <c r="E26">
        <v>3.8596034619653767E-2</v>
      </c>
      <c r="F26">
        <v>2.3624380193623847E-2</v>
      </c>
      <c r="G26">
        <v>2.9623827109253698E-2</v>
      </c>
      <c r="H26">
        <v>2.9596172890746304E-2</v>
      </c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5"/>
  <dimension ref="A1:H27"/>
  <sheetViews>
    <sheetView topLeftCell="A6" workbookViewId="0">
      <selection activeCell="H10" sqref="H10:H27"/>
    </sheetView>
  </sheetViews>
  <sheetFormatPr defaultColWidth="9.1796875" defaultRowHeight="12.5" x14ac:dyDescent="0.25"/>
  <cols>
    <col min="1" max="1" width="10.81640625" style="31" bestFit="1" customWidth="1"/>
    <col min="2" max="2" width="12.81640625" style="31" bestFit="1" customWidth="1"/>
    <col min="3" max="3" width="15" style="31" bestFit="1" customWidth="1"/>
    <col min="4" max="4" width="12.81640625" style="31" customWidth="1"/>
    <col min="5" max="5" width="19.36328125" style="31" customWidth="1"/>
    <col min="6" max="6" width="18" style="31" customWidth="1"/>
    <col min="7" max="7" width="19.6328125" style="31" customWidth="1"/>
    <col min="8" max="8" width="20.1796875" style="31" customWidth="1"/>
    <col min="9" max="16384" width="9.1796875" style="31"/>
  </cols>
  <sheetData>
    <row r="1" spans="1:8" x14ac:dyDescent="0.25">
      <c r="A1" s="55" t="s">
        <v>91</v>
      </c>
      <c r="B1" s="55"/>
      <c r="C1" s="55"/>
      <c r="D1" s="55"/>
    </row>
    <row r="2" spans="1:8" ht="13" thickBot="1" x14ac:dyDescent="0.3">
      <c r="A2" s="57"/>
      <c r="B2" s="57"/>
      <c r="C2" s="57"/>
      <c r="D2" s="57"/>
    </row>
    <row r="3" spans="1:8" x14ac:dyDescent="0.25">
      <c r="A3" s="17" t="s">
        <v>0</v>
      </c>
      <c r="B3" s="7" t="s">
        <v>91</v>
      </c>
      <c r="C3" s="7" t="s">
        <v>2</v>
      </c>
      <c r="D3" s="9" t="s">
        <v>3</v>
      </c>
    </row>
    <row r="4" spans="1:8" x14ac:dyDescent="0.25">
      <c r="A4" s="19" t="s">
        <v>4</v>
      </c>
      <c r="B4" s="11" t="str">
        <f>IRCAD!B4</f>
        <v>eco2508</v>
      </c>
      <c r="C4" s="11" t="s">
        <v>5</v>
      </c>
      <c r="D4" s="13" t="s">
        <v>17</v>
      </c>
    </row>
    <row r="5" spans="1:8" ht="13" thickBot="1" x14ac:dyDescent="0.3">
      <c r="A5" s="19" t="s">
        <v>6</v>
      </c>
      <c r="B5" s="11" t="s">
        <v>7</v>
      </c>
      <c r="C5" s="27" t="s">
        <v>8</v>
      </c>
      <c r="D5" s="32"/>
    </row>
    <row r="6" spans="1:8" ht="13" thickBot="1" x14ac:dyDescent="0.3">
      <c r="A6" s="28" t="s">
        <v>90</v>
      </c>
      <c r="B6" s="21">
        <f>Input!SessionDate</f>
        <v>40452</v>
      </c>
      <c r="C6" s="27"/>
      <c r="D6" s="16"/>
    </row>
    <row r="7" spans="1:8" x14ac:dyDescent="0.25">
      <c r="A7" s="5"/>
      <c r="B7" s="5"/>
      <c r="C7" s="5"/>
      <c r="D7" s="5"/>
    </row>
    <row r="8" spans="1:8" ht="13" thickBot="1" x14ac:dyDescent="0.3"/>
    <row r="9" spans="1:8" ht="13" x14ac:dyDescent="0.3">
      <c r="A9" s="12" t="s">
        <v>10</v>
      </c>
      <c r="B9" s="42" t="s">
        <v>109</v>
      </c>
      <c r="C9" s="1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 s="36">
        <v>1</v>
      </c>
      <c r="B10" s="38">
        <v>4.2500000000000003E-3</v>
      </c>
      <c r="C10" s="29">
        <v>2.9250000000000002E-2</v>
      </c>
      <c r="D10" s="31">
        <v>1E-4</v>
      </c>
      <c r="E10" s="31">
        <v>1E-4</v>
      </c>
      <c r="F10" s="31">
        <v>2.8227404999171292E-2</v>
      </c>
      <c r="G10" s="31">
        <v>3.422945909015572E-2</v>
      </c>
      <c r="H10" s="31">
        <v>1E-4</v>
      </c>
    </row>
    <row r="11" spans="1:8" x14ac:dyDescent="0.25">
      <c r="A11" s="36">
        <v>7</v>
      </c>
      <c r="B11" s="38">
        <v>5.45E-3</v>
      </c>
      <c r="C11" s="29">
        <v>3.0450000000000001E-2</v>
      </c>
      <c r="D11" s="31">
        <v>1E-4</v>
      </c>
      <c r="E11" s="31">
        <v>1E-4</v>
      </c>
      <c r="F11" s="31">
        <v>2.9292159509018582E-2</v>
      </c>
      <c r="G11" s="31">
        <v>3.5306508644562348E-2</v>
      </c>
      <c r="H11" s="31">
        <v>1E-4</v>
      </c>
    </row>
    <row r="12" spans="1:8" x14ac:dyDescent="0.25">
      <c r="A12" s="36">
        <v>30</v>
      </c>
      <c r="B12" s="38">
        <v>5.0000000000000001E-3</v>
      </c>
      <c r="C12" s="29">
        <v>3.0000000000000002E-2</v>
      </c>
      <c r="D12" s="31">
        <v>1E-4</v>
      </c>
      <c r="E12" s="31">
        <v>1E-4</v>
      </c>
      <c r="F12" s="31">
        <v>2.8328836933770956E-2</v>
      </c>
      <c r="G12" s="31">
        <v>3.4389851757973593E-2</v>
      </c>
      <c r="H12" s="31">
        <v>1E-4</v>
      </c>
    </row>
    <row r="13" spans="1:8" x14ac:dyDescent="0.25">
      <c r="A13" s="36">
        <v>91</v>
      </c>
      <c r="B13" s="38">
        <v>5.94E-3</v>
      </c>
      <c r="C13" s="29">
        <v>3.0940000000000002E-2</v>
      </c>
      <c r="D13" s="31">
        <v>1E-4</v>
      </c>
      <c r="E13" s="31">
        <v>1E-4</v>
      </c>
      <c r="F13" s="31">
        <v>2.7945939854589215E-2</v>
      </c>
      <c r="G13" s="31">
        <v>3.4127218049626554E-2</v>
      </c>
      <c r="H13" s="31">
        <v>1E-4</v>
      </c>
    </row>
    <row r="14" spans="1:8" x14ac:dyDescent="0.25">
      <c r="A14" s="36">
        <v>182</v>
      </c>
      <c r="B14" s="38">
        <v>8.1300000000000001E-3</v>
      </c>
      <c r="C14" s="29">
        <v>3.313E-2</v>
      </c>
      <c r="D14" s="31">
        <v>1E-4</v>
      </c>
      <c r="E14" s="31">
        <v>1E-4</v>
      </c>
      <c r="F14" s="31">
        <v>2.8262372917163756E-2</v>
      </c>
      <c r="G14" s="31">
        <v>3.4613975379239777E-2</v>
      </c>
      <c r="H14" s="31">
        <v>1E-4</v>
      </c>
    </row>
    <row r="15" spans="1:8" x14ac:dyDescent="0.25">
      <c r="A15" s="36">
        <v>365</v>
      </c>
      <c r="B15" s="38">
        <v>5.7400000000000003E-3</v>
      </c>
      <c r="C15" s="29">
        <v>3.0740000000000003E-2</v>
      </c>
      <c r="D15" s="31">
        <v>1E-4</v>
      </c>
      <c r="E15" s="31">
        <v>1E-4</v>
      </c>
      <c r="F15" s="31">
        <v>2.2440425841356366E-2</v>
      </c>
      <c r="G15" s="31">
        <v>2.9104023492142146E-2</v>
      </c>
      <c r="H15" s="31">
        <v>1E-4</v>
      </c>
    </row>
    <row r="16" spans="1:8" x14ac:dyDescent="0.25">
      <c r="A16" s="36">
        <v>730</v>
      </c>
      <c r="B16" s="38">
        <v>7.6600000000000001E-3</v>
      </c>
      <c r="C16" s="29">
        <v>3.2660000000000002E-2</v>
      </c>
      <c r="D16" s="31">
        <v>1E-4</v>
      </c>
      <c r="E16" s="31">
        <v>1.1444882294830965E-3</v>
      </c>
      <c r="F16" s="31">
        <v>1.8675511770516906E-2</v>
      </c>
      <c r="G16" s="31">
        <v>2.5855919791379002E-2</v>
      </c>
      <c r="H16" s="31">
        <v>1E-4</v>
      </c>
    </row>
    <row r="17" spans="1:8" x14ac:dyDescent="0.25">
      <c r="A17" s="36">
        <v>1095</v>
      </c>
      <c r="B17" s="38">
        <v>1.059E-2</v>
      </c>
      <c r="C17" s="29">
        <v>3.5590000000000004E-2</v>
      </c>
      <c r="D17" s="31">
        <v>1E-4</v>
      </c>
      <c r="E17" s="31">
        <v>8.5019037595465141E-3</v>
      </c>
      <c r="F17" s="31">
        <v>1.7178096240453487E-2</v>
      </c>
      <c r="G17" s="31">
        <v>2.4760996582230441E-2</v>
      </c>
      <c r="H17" s="31">
        <v>1E-4</v>
      </c>
    </row>
    <row r="18" spans="1:8" x14ac:dyDescent="0.25">
      <c r="A18" s="36">
        <v>1460</v>
      </c>
      <c r="B18" s="38">
        <v>1.4590000000000001E-2</v>
      </c>
      <c r="C18" s="29">
        <v>3.959E-2</v>
      </c>
      <c r="D18" s="31">
        <v>1E-4</v>
      </c>
      <c r="E18" s="31">
        <v>1.5949978441342404E-2</v>
      </c>
      <c r="F18" s="31">
        <v>1.7730021558657598E-2</v>
      </c>
      <c r="G18" s="31">
        <v>2.5626383235143269E-2</v>
      </c>
      <c r="H18" s="31">
        <v>3.5536167648567308E-3</v>
      </c>
    </row>
    <row r="19" spans="1:8" x14ac:dyDescent="0.25">
      <c r="A19" s="26">
        <v>1825</v>
      </c>
      <c r="B19" s="38">
        <v>1.806E-2</v>
      </c>
      <c r="C19" s="29">
        <v>4.3060000000000001E-2</v>
      </c>
      <c r="D19" s="31">
        <v>1E-4</v>
      </c>
      <c r="E19" s="31">
        <v>2.2105341703613727E-2</v>
      </c>
      <c r="F19" s="31">
        <v>1.8514658296386273E-2</v>
      </c>
      <c r="G19" s="31">
        <v>2.66551439058057E-2</v>
      </c>
      <c r="H19" s="31">
        <v>9.4648560941942971E-3</v>
      </c>
    </row>
    <row r="20" spans="1:8" x14ac:dyDescent="0.25">
      <c r="A20" s="26">
        <v>2190</v>
      </c>
      <c r="B20" s="38">
        <v>2.104E-2</v>
      </c>
      <c r="C20" s="29">
        <v>4.6039999999999998E-2</v>
      </c>
      <c r="D20" s="31">
        <v>1E-4</v>
      </c>
      <c r="E20" s="31">
        <v>2.7176704715101817E-2</v>
      </c>
      <c r="F20" s="31">
        <v>1.9403295284898182E-2</v>
      </c>
      <c r="G20" s="31">
        <v>2.7733904804452893E-2</v>
      </c>
      <c r="H20" s="31">
        <v>1.4346095195547106E-2</v>
      </c>
    </row>
    <row r="21" spans="1:8" x14ac:dyDescent="0.25">
      <c r="A21" s="26">
        <v>2555</v>
      </c>
      <c r="B21" s="38">
        <v>2.3400000000000001E-2</v>
      </c>
      <c r="C21" s="29">
        <v>4.8399999999999999E-2</v>
      </c>
      <c r="D21" s="31">
        <v>1E-4</v>
      </c>
      <c r="E21" s="31">
        <v>3.1165459866135312E-2</v>
      </c>
      <c r="F21" s="31">
        <v>2.0134540133864693E-2</v>
      </c>
      <c r="G21" s="31">
        <v>2.8613218303513356E-2</v>
      </c>
      <c r="H21" s="31">
        <v>1.8186781696486645E-2</v>
      </c>
    </row>
    <row r="22" spans="1:8" x14ac:dyDescent="0.25">
      <c r="A22" s="36">
        <v>2920</v>
      </c>
      <c r="B22" s="38">
        <v>2.734E-2</v>
      </c>
      <c r="C22" s="31">
        <v>5.2339999999999998E-2</v>
      </c>
      <c r="D22" s="31">
        <v>2.3399999999999983E-3</v>
      </c>
      <c r="E22" s="31">
        <v>3.6373935653191782E-2</v>
      </c>
      <c r="F22" s="31">
        <v>2.2806064346808218E-2</v>
      </c>
      <c r="G22" s="31">
        <v>3.1400058497098378E-2</v>
      </c>
      <c r="H22" s="31">
        <v>2.3279941502901618E-2</v>
      </c>
    </row>
    <row r="23" spans="1:8" x14ac:dyDescent="0.25">
      <c r="A23" s="36">
        <v>3285</v>
      </c>
      <c r="B23" s="38">
        <v>2.971E-2</v>
      </c>
      <c r="C23" s="31">
        <v>5.4710000000000002E-2</v>
      </c>
      <c r="D23" s="31">
        <v>4.7099999999999989E-3</v>
      </c>
      <c r="E23" s="31">
        <v>3.973182558945848E-2</v>
      </c>
      <c r="F23" s="31">
        <v>2.4188174410541524E-2</v>
      </c>
      <c r="G23" s="31">
        <v>3.2871976736855928E-2</v>
      </c>
      <c r="H23" s="31">
        <v>2.6548023263144069E-2</v>
      </c>
    </row>
    <row r="24" spans="1:8" x14ac:dyDescent="0.25">
      <c r="A24" s="36">
        <v>3650</v>
      </c>
      <c r="B24" s="38">
        <v>3.1199999999999999E-2</v>
      </c>
      <c r="C24" s="31">
        <v>5.62E-2</v>
      </c>
      <c r="D24" s="31">
        <v>6.1999999999999972E-3</v>
      </c>
      <c r="E24" s="31">
        <v>4.1991195045411336E-2</v>
      </c>
      <c r="F24" s="31">
        <v>2.4908804954588658E-2</v>
      </c>
      <c r="G24" s="31">
        <v>3.366254995871696E-2</v>
      </c>
      <c r="H24" s="31">
        <v>2.8737450041283034E-2</v>
      </c>
    </row>
    <row r="25" spans="1:8" x14ac:dyDescent="0.25">
      <c r="A25" s="36">
        <v>5475</v>
      </c>
      <c r="B25" s="38">
        <v>3.6949999999999997E-2</v>
      </c>
      <c r="C25" s="31">
        <v>6.1949999999999998E-2</v>
      </c>
      <c r="D25" s="31">
        <v>1.1949999999999995E-2</v>
      </c>
      <c r="E25" s="31">
        <v>4.96739143867517E-2</v>
      </c>
      <c r="F25" s="31">
        <v>2.8726085613248298E-2</v>
      </c>
      <c r="G25" s="31">
        <v>3.765553237568027E-2</v>
      </c>
      <c r="H25" s="31">
        <v>3.6244467624319723E-2</v>
      </c>
    </row>
    <row r="26" spans="1:8" x14ac:dyDescent="0.25">
      <c r="A26" s="36">
        <v>7300</v>
      </c>
      <c r="B26" s="38">
        <v>4.0320000000000002E-2</v>
      </c>
      <c r="C26" s="31">
        <v>6.5320000000000003E-2</v>
      </c>
      <c r="D26" s="31">
        <v>1.532E-2</v>
      </c>
      <c r="E26" s="31">
        <v>5.3597647749030183E-2</v>
      </c>
      <c r="F26" s="31">
        <v>3.1542352250969824E-2</v>
      </c>
      <c r="G26" s="31">
        <v>4.0522138409972569E-2</v>
      </c>
      <c r="H26" s="31">
        <v>4.0117861590027434E-2</v>
      </c>
    </row>
    <row r="27" spans="1:8" x14ac:dyDescent="0.25">
      <c r="A27" s="36">
        <v>10950</v>
      </c>
      <c r="B27" s="38">
        <v>4.1829999999999999E-2</v>
      </c>
      <c r="C27" s="31">
        <v>6.6830000000000001E-2</v>
      </c>
      <c r="D27" s="31">
        <v>1.6829999999999998E-2</v>
      </c>
      <c r="E27" s="31">
        <v>5.531174821578512E-2</v>
      </c>
      <c r="F27" s="31">
        <v>3.2848251784214882E-2</v>
      </c>
      <c r="G27" s="31">
        <v>4.1846592531104433E-2</v>
      </c>
      <c r="H27" s="31">
        <v>4.1813407468895565E-2</v>
      </c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6"/>
  <dimension ref="A1:H27"/>
  <sheetViews>
    <sheetView topLeftCell="A4" workbookViewId="0">
      <selection activeCell="C10" sqref="C10:C27"/>
    </sheetView>
  </sheetViews>
  <sheetFormatPr defaultColWidth="9.1796875" defaultRowHeight="12.5" x14ac:dyDescent="0.25"/>
  <cols>
    <col min="1" max="1" width="10.81640625" style="31" bestFit="1" customWidth="1"/>
    <col min="2" max="2" width="12.81640625" style="31" bestFit="1" customWidth="1"/>
    <col min="3" max="3" width="15" style="31" bestFit="1" customWidth="1"/>
    <col min="4" max="4" width="17.6328125" style="31" customWidth="1"/>
    <col min="5" max="5" width="17.36328125" style="31" customWidth="1"/>
    <col min="6" max="6" width="16.81640625" style="31" customWidth="1"/>
    <col min="7" max="7" width="18.36328125" style="31" customWidth="1"/>
    <col min="8" max="8" width="21" style="31" customWidth="1"/>
    <col min="9" max="16384" width="9.1796875" style="31"/>
  </cols>
  <sheetData>
    <row r="1" spans="1:8" x14ac:dyDescent="0.25">
      <c r="A1" s="55" t="s">
        <v>92</v>
      </c>
      <c r="B1" s="55"/>
      <c r="C1" s="55"/>
      <c r="D1" s="55"/>
    </row>
    <row r="2" spans="1:8" ht="13" thickBot="1" x14ac:dyDescent="0.3">
      <c r="A2" s="57"/>
      <c r="B2" s="57"/>
      <c r="C2" s="57"/>
      <c r="D2" s="57"/>
    </row>
    <row r="3" spans="1:8" x14ac:dyDescent="0.25">
      <c r="A3" s="17" t="s">
        <v>0</v>
      </c>
      <c r="B3" s="7" t="s">
        <v>92</v>
      </c>
      <c r="C3" s="7" t="s">
        <v>2</v>
      </c>
      <c r="D3" s="9" t="s">
        <v>3</v>
      </c>
    </row>
    <row r="4" spans="1:8" x14ac:dyDescent="0.25">
      <c r="A4" s="19" t="s">
        <v>4</v>
      </c>
      <c r="B4" s="11" t="str">
        <f>IRCAD!B4</f>
        <v>eco2508</v>
      </c>
      <c r="C4" s="11" t="s">
        <v>5</v>
      </c>
      <c r="D4" s="13" t="s">
        <v>17</v>
      </c>
    </row>
    <row r="5" spans="1:8" ht="13" thickBot="1" x14ac:dyDescent="0.3">
      <c r="A5" s="19" t="s">
        <v>6</v>
      </c>
      <c r="B5" s="11" t="s">
        <v>7</v>
      </c>
      <c r="C5" s="27" t="s">
        <v>8</v>
      </c>
      <c r="D5" s="32"/>
    </row>
    <row r="6" spans="1:8" ht="13" thickBot="1" x14ac:dyDescent="0.3">
      <c r="A6" s="28" t="s">
        <v>90</v>
      </c>
      <c r="B6" s="21">
        <f>Input!SessionDate</f>
        <v>40452</v>
      </c>
      <c r="C6" s="27"/>
      <c r="D6" s="16"/>
    </row>
    <row r="7" spans="1:8" x14ac:dyDescent="0.25">
      <c r="A7" s="5"/>
      <c r="B7" s="5"/>
      <c r="C7" s="5"/>
      <c r="D7" s="5"/>
    </row>
    <row r="8" spans="1:8" ht="13" thickBot="1" x14ac:dyDescent="0.3"/>
    <row r="9" spans="1:8" ht="13" x14ac:dyDescent="0.3">
      <c r="A9" s="12" t="s">
        <v>10</v>
      </c>
      <c r="B9" s="42" t="s">
        <v>109</v>
      </c>
      <c r="C9" s="1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 s="36">
        <v>1</v>
      </c>
      <c r="B10" s="38">
        <v>7.5000000000000002E-4</v>
      </c>
      <c r="C10" s="29">
        <v>2.0750000000000001E-2</v>
      </c>
      <c r="D10" s="31">
        <v>1E-4</v>
      </c>
      <c r="E10" s="31">
        <v>1E-4</v>
      </c>
      <c r="F10" s="31">
        <v>2.0732197878134958E-2</v>
      </c>
      <c r="G10" s="31">
        <v>2.5732882575129765E-2</v>
      </c>
      <c r="H10" s="31">
        <v>1E-4</v>
      </c>
    </row>
    <row r="11" spans="1:8" x14ac:dyDescent="0.25">
      <c r="A11" s="36">
        <v>7</v>
      </c>
      <c r="B11" s="38">
        <v>7.5000000000000002E-4</v>
      </c>
      <c r="C11" s="29">
        <v>2.0750000000000001E-2</v>
      </c>
      <c r="D11" s="31">
        <v>1E-4</v>
      </c>
      <c r="E11" s="31">
        <v>1E-4</v>
      </c>
      <c r="F11" s="31">
        <v>2.062564082528737E-2</v>
      </c>
      <c r="G11" s="31">
        <v>2.5630423870468624E-2</v>
      </c>
      <c r="H11" s="31">
        <v>1E-4</v>
      </c>
    </row>
    <row r="12" spans="1:8" x14ac:dyDescent="0.25">
      <c r="A12" s="36">
        <v>30</v>
      </c>
      <c r="B12" s="38">
        <v>2.3999999999999998E-3</v>
      </c>
      <c r="C12" s="29">
        <v>2.24E-2</v>
      </c>
      <c r="D12" s="31">
        <v>1E-4</v>
      </c>
      <c r="E12" s="31">
        <v>1E-4</v>
      </c>
      <c r="F12" s="31">
        <v>2.1871204856910451E-2</v>
      </c>
      <c r="G12" s="31">
        <v>2.6891543131644661E-2</v>
      </c>
      <c r="H12" s="31">
        <v>1E-4</v>
      </c>
    </row>
    <row r="13" spans="1:8" x14ac:dyDescent="0.25">
      <c r="A13" s="36">
        <v>91</v>
      </c>
      <c r="B13" s="38">
        <v>3.2799999999999999E-3</v>
      </c>
      <c r="C13" s="29">
        <v>2.3280000000000002E-2</v>
      </c>
      <c r="D13" s="31">
        <v>1E-4</v>
      </c>
      <c r="E13" s="31">
        <v>1E-4</v>
      </c>
      <c r="F13" s="31">
        <v>2.1708922309676353E-2</v>
      </c>
      <c r="G13" s="31">
        <v>2.6769348374688799E-2</v>
      </c>
      <c r="H13" s="31">
        <v>1E-4</v>
      </c>
    </row>
    <row r="14" spans="1:8" x14ac:dyDescent="0.25">
      <c r="A14" s="36">
        <v>182</v>
      </c>
      <c r="B14" s="38">
        <v>3.0500000000000002E-3</v>
      </c>
      <c r="C14" s="29">
        <v>2.3050000000000001E-2</v>
      </c>
      <c r="D14" s="31">
        <v>1E-4</v>
      </c>
      <c r="E14" s="31">
        <v>1E-4</v>
      </c>
      <c r="F14" s="31">
        <v>2.0002778662007809E-2</v>
      </c>
      <c r="G14" s="31">
        <v>2.5119979482699815E-2</v>
      </c>
      <c r="H14" s="31">
        <v>1E-4</v>
      </c>
    </row>
    <row r="15" spans="1:8" x14ac:dyDescent="0.25">
      <c r="A15" s="36">
        <v>365</v>
      </c>
      <c r="B15" s="38">
        <v>3.5400000000000002E-3</v>
      </c>
      <c r="C15" s="29">
        <v>2.3540000000000002E-2</v>
      </c>
      <c r="D15" s="31">
        <v>1E-4</v>
      </c>
      <c r="E15" s="31">
        <v>1E-4</v>
      </c>
      <c r="F15" s="31">
        <v>1.778882035985653E-2</v>
      </c>
      <c r="G15" s="31">
        <v>2.3010019576785123E-2</v>
      </c>
      <c r="H15" s="31">
        <v>1E-4</v>
      </c>
    </row>
    <row r="16" spans="1:8" x14ac:dyDescent="0.25">
      <c r="A16" s="36">
        <v>730</v>
      </c>
      <c r="B16" s="38">
        <v>5.7200000000000003E-3</v>
      </c>
      <c r="C16" s="29">
        <v>2.572E-2</v>
      </c>
      <c r="D16" s="31">
        <v>1E-4</v>
      </c>
      <c r="E16" s="31">
        <v>1E-4</v>
      </c>
      <c r="F16" s="31">
        <v>1.5489797152528469E-2</v>
      </c>
      <c r="G16" s="31">
        <v>2.0883266492815838E-2</v>
      </c>
      <c r="H16" s="31">
        <v>1E-4</v>
      </c>
    </row>
    <row r="17" spans="1:8" x14ac:dyDescent="0.25">
      <c r="A17" s="36">
        <v>1095</v>
      </c>
      <c r="B17" s="38">
        <v>7.1900000000000002E-3</v>
      </c>
      <c r="C17" s="29">
        <v>2.7189999999999999E-2</v>
      </c>
      <c r="D17" s="31">
        <v>1E-4</v>
      </c>
      <c r="E17" s="31">
        <v>4.2627445432893794E-3</v>
      </c>
      <c r="F17" s="31">
        <v>1.3471530371266383E-2</v>
      </c>
      <c r="G17" s="31">
        <v>1.8999163818525365E-2</v>
      </c>
      <c r="H17" s="31">
        <v>1E-4</v>
      </c>
    </row>
    <row r="18" spans="1:8" x14ac:dyDescent="0.25">
      <c r="A18" s="36">
        <v>1460</v>
      </c>
      <c r="B18" s="38">
        <v>9.5399999999999999E-3</v>
      </c>
      <c r="C18" s="29">
        <v>2.954E-2</v>
      </c>
      <c r="D18" s="31">
        <v>1E-4</v>
      </c>
      <c r="E18" s="31">
        <v>9.2510441104210802E-3</v>
      </c>
      <c r="F18" s="31">
        <v>1.3104865470457501E-2</v>
      </c>
      <c r="G18" s="31">
        <v>1.8736986029286057E-2</v>
      </c>
      <c r="H18" s="31">
        <v>3.4301397071394117E-4</v>
      </c>
    </row>
    <row r="19" spans="1:8" x14ac:dyDescent="0.25">
      <c r="A19" s="26">
        <v>1825</v>
      </c>
      <c r="B19" s="38">
        <v>1.204E-2</v>
      </c>
      <c r="C19" s="29">
        <v>3.2039999999999999E-2</v>
      </c>
      <c r="D19" s="31">
        <v>1E-4</v>
      </c>
      <c r="E19" s="31">
        <v>1.3805753879280201E-2</v>
      </c>
      <c r="F19" s="31">
        <v>1.3489124718364944E-2</v>
      </c>
      <c r="G19" s="31">
        <v>1.9202619921504752E-2</v>
      </c>
      <c r="H19" s="31">
        <v>4.8773800784952482E-3</v>
      </c>
    </row>
    <row r="20" spans="1:8" x14ac:dyDescent="0.25">
      <c r="A20" s="26">
        <v>2190</v>
      </c>
      <c r="B20" s="38">
        <v>1.431E-2</v>
      </c>
      <c r="C20" s="29">
        <v>3.431E-2</v>
      </c>
      <c r="D20" s="31">
        <v>1E-4</v>
      </c>
      <c r="E20" s="31">
        <v>1.7675963456252147E-2</v>
      </c>
      <c r="F20" s="31">
        <v>1.4111384163859176E-2</v>
      </c>
      <c r="G20" s="31">
        <v>1.9888254003710745E-2</v>
      </c>
      <c r="H20" s="31">
        <v>8.731745996289255E-3</v>
      </c>
    </row>
    <row r="21" spans="1:8" x14ac:dyDescent="0.25">
      <c r="A21" s="26">
        <v>2555</v>
      </c>
      <c r="B21" s="38">
        <v>1.6400000000000001E-2</v>
      </c>
      <c r="C21" s="29">
        <v>3.6400000000000002E-2</v>
      </c>
      <c r="D21" s="31">
        <v>1E-4</v>
      </c>
      <c r="E21" s="31">
        <v>2.1012207927876263E-2</v>
      </c>
      <c r="F21" s="31">
        <v>1.4918122529711576E-2</v>
      </c>
      <c r="G21" s="31">
        <v>2.0744348586261129E-2</v>
      </c>
      <c r="H21" s="31">
        <v>1.2055651413738874E-2</v>
      </c>
    </row>
    <row r="22" spans="1:8" x14ac:dyDescent="0.25">
      <c r="A22" s="36">
        <v>2920</v>
      </c>
      <c r="B22" s="38">
        <v>1.7909999999999999E-2</v>
      </c>
      <c r="C22" s="31">
        <v>3.7909999999999999E-2</v>
      </c>
      <c r="D22" s="31">
        <v>1E-4</v>
      </c>
      <c r="E22" s="31">
        <v>2.3492784098275529E-2</v>
      </c>
      <c r="F22" s="31">
        <v>1.5428717364151929E-2</v>
      </c>
      <c r="G22" s="31">
        <v>2.1293382080915316E-2</v>
      </c>
      <c r="H22" s="31">
        <v>1.4526617919084682E-2</v>
      </c>
    </row>
    <row r="23" spans="1:8" x14ac:dyDescent="0.25">
      <c r="A23" s="36">
        <v>3285</v>
      </c>
      <c r="B23" s="38">
        <v>1.9439999999999999E-2</v>
      </c>
      <c r="C23" s="31">
        <v>3.9440000000000003E-2</v>
      </c>
      <c r="D23" s="31">
        <v>1E-4</v>
      </c>
      <c r="E23" s="31">
        <v>2.5778669579812924E-2</v>
      </c>
      <c r="F23" s="31">
        <v>1.6180379838608473E-2</v>
      </c>
      <c r="G23" s="31">
        <v>2.2074980614046606E-2</v>
      </c>
      <c r="H23" s="31">
        <v>1.6805019385953392E-2</v>
      </c>
    </row>
    <row r="24" spans="1:8" x14ac:dyDescent="0.25">
      <c r="A24" s="36">
        <v>3650</v>
      </c>
      <c r="B24" s="38">
        <v>2.0729999999999998E-2</v>
      </c>
      <c r="C24" s="31">
        <v>4.0730000000000002E-2</v>
      </c>
      <c r="D24" s="31">
        <v>7.2999999999999801E-4</v>
      </c>
      <c r="E24" s="31">
        <v>2.7657353784746555E-2</v>
      </c>
      <c r="F24" s="31">
        <v>1.6864209964221367E-2</v>
      </c>
      <c r="G24" s="31">
        <v>2.2782124965597467E-2</v>
      </c>
      <c r="H24" s="31">
        <v>1.8677875034402529E-2</v>
      </c>
    </row>
    <row r="25" spans="1:8" x14ac:dyDescent="0.25">
      <c r="A25" s="36">
        <v>5475</v>
      </c>
      <c r="B25" s="38">
        <v>2.3699999999999999E-2</v>
      </c>
      <c r="C25" s="31">
        <v>4.3700000000000003E-2</v>
      </c>
      <c r="D25" s="31">
        <v>3.6999999999999984E-3</v>
      </c>
      <c r="E25" s="31">
        <v>3.210617691713577E-2</v>
      </c>
      <c r="F25" s="31">
        <v>1.8311461392256236E-2</v>
      </c>
      <c r="G25" s="31">
        <v>2.4287943646400228E-2</v>
      </c>
      <c r="H25" s="31">
        <v>2.311205635359977E-2</v>
      </c>
    </row>
    <row r="26" spans="1:8" x14ac:dyDescent="0.25">
      <c r="A26" s="36">
        <v>7300</v>
      </c>
      <c r="B26" s="38">
        <v>2.35E-2</v>
      </c>
      <c r="C26" s="31">
        <v>4.3499999999999997E-2</v>
      </c>
      <c r="D26" s="31">
        <v>3.4999999999999996E-3</v>
      </c>
      <c r="E26" s="31">
        <v>3.2329866838273089E-2</v>
      </c>
      <c r="F26" s="31">
        <v>1.7675186621976223E-2</v>
      </c>
      <c r="G26" s="31">
        <v>2.3668448674977138E-2</v>
      </c>
      <c r="H26" s="31">
        <v>2.3331551325022862E-2</v>
      </c>
    </row>
    <row r="27" spans="1:8" x14ac:dyDescent="0.25">
      <c r="A27" s="36">
        <v>10950</v>
      </c>
      <c r="B27" s="38">
        <v>2.3290000000000002E-2</v>
      </c>
      <c r="C27" s="31">
        <v>4.3290000000000002E-2</v>
      </c>
      <c r="D27" s="31">
        <v>3.2900000000000013E-3</v>
      </c>
      <c r="E27" s="31">
        <v>3.2276034619653768E-2</v>
      </c>
      <c r="F27" s="31">
        <v>1.7304380193623847E-2</v>
      </c>
      <c r="G27" s="31">
        <v>2.3303827109253699E-2</v>
      </c>
      <c r="H27" s="31">
        <v>2.3276172890746304E-2</v>
      </c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7"/>
  <dimension ref="A1:H27"/>
  <sheetViews>
    <sheetView topLeftCell="A7" workbookViewId="0">
      <selection activeCell="B6" sqref="B6"/>
    </sheetView>
  </sheetViews>
  <sheetFormatPr defaultColWidth="9.1796875" defaultRowHeight="12.5" x14ac:dyDescent="0.25"/>
  <cols>
    <col min="1" max="1" width="10.81640625" style="31" bestFit="1" customWidth="1"/>
    <col min="2" max="2" width="12.81640625" style="31" bestFit="1" customWidth="1"/>
    <col min="3" max="3" width="15" style="31" bestFit="1" customWidth="1"/>
    <col min="4" max="4" width="16.1796875" style="31" customWidth="1"/>
    <col min="5" max="5" width="15.81640625" style="31" customWidth="1"/>
    <col min="6" max="6" width="17.453125" style="31" customWidth="1"/>
    <col min="7" max="7" width="19.81640625" style="31" bestFit="1" customWidth="1"/>
    <col min="8" max="8" width="22.36328125" style="31" bestFit="1" customWidth="1"/>
    <col min="9" max="16384" width="9.1796875" style="31"/>
  </cols>
  <sheetData>
    <row r="1" spans="1:8" x14ac:dyDescent="0.25">
      <c r="A1" s="55" t="s">
        <v>118</v>
      </c>
      <c r="B1" s="55"/>
      <c r="C1" s="55"/>
      <c r="D1" s="55"/>
    </row>
    <row r="2" spans="1:8" ht="13" thickBot="1" x14ac:dyDescent="0.3">
      <c r="A2" s="57"/>
      <c r="B2" s="57"/>
      <c r="C2" s="57"/>
      <c r="D2" s="57"/>
    </row>
    <row r="3" spans="1:8" x14ac:dyDescent="0.25">
      <c r="A3" s="17" t="s">
        <v>0</v>
      </c>
      <c r="B3" s="7" t="s">
        <v>118</v>
      </c>
      <c r="C3" s="7" t="s">
        <v>2</v>
      </c>
      <c r="D3" s="9" t="s">
        <v>3</v>
      </c>
    </row>
    <row r="4" spans="1:8" x14ac:dyDescent="0.25">
      <c r="A4" s="19" t="s">
        <v>4</v>
      </c>
      <c r="B4" s="11" t="str">
        <f>IRCAD!B4</f>
        <v>eco2508</v>
      </c>
      <c r="C4" s="11" t="s">
        <v>5</v>
      </c>
      <c r="D4" s="13" t="s">
        <v>17</v>
      </c>
    </row>
    <row r="5" spans="1:8" ht="13" thickBot="1" x14ac:dyDescent="0.3">
      <c r="A5" s="19" t="s">
        <v>6</v>
      </c>
      <c r="B5" s="11" t="s">
        <v>7</v>
      </c>
      <c r="C5" s="27" t="s">
        <v>8</v>
      </c>
      <c r="D5" s="32"/>
    </row>
    <row r="6" spans="1:8" ht="13" thickBot="1" x14ac:dyDescent="0.3">
      <c r="A6" s="28" t="s">
        <v>90</v>
      </c>
      <c r="B6" s="21">
        <f>Input!SessionDate</f>
        <v>40452</v>
      </c>
      <c r="C6" s="27"/>
      <c r="D6" s="16"/>
    </row>
    <row r="7" spans="1:8" x14ac:dyDescent="0.25">
      <c r="A7" s="5"/>
      <c r="B7" s="5"/>
      <c r="C7" s="5"/>
      <c r="D7" s="5"/>
    </row>
    <row r="8" spans="1:8" ht="13" thickBot="1" x14ac:dyDescent="0.3"/>
    <row r="9" spans="1:8" ht="13" x14ac:dyDescent="0.3">
      <c r="A9" s="12" t="s">
        <v>10</v>
      </c>
      <c r="B9" s="42" t="s">
        <v>109</v>
      </c>
      <c r="C9" s="1" t="s">
        <v>106</v>
      </c>
      <c r="D9" s="1" t="s">
        <v>107</v>
      </c>
      <c r="E9" s="1" t="s">
        <v>102</v>
      </c>
      <c r="F9" s="1" t="s">
        <v>103</v>
      </c>
      <c r="G9" s="1" t="s">
        <v>104</v>
      </c>
      <c r="H9" s="1" t="s">
        <v>105</v>
      </c>
    </row>
    <row r="10" spans="1:8" x14ac:dyDescent="0.25">
      <c r="A10" s="36">
        <v>1</v>
      </c>
      <c r="B10" s="38">
        <v>2.2100000000000002E-3</v>
      </c>
      <c r="C10" s="29">
        <v>3.2210000000000003E-2</v>
      </c>
      <c r="D10" s="31">
        <v>1E-4</v>
      </c>
      <c r="E10" s="31">
        <v>1E-4</v>
      </c>
      <c r="F10" s="31">
        <v>3.8177134544249147E-2</v>
      </c>
      <c r="G10" s="31">
        <v>4.7179188635233571E-2</v>
      </c>
      <c r="H10" s="31">
        <v>1E-4</v>
      </c>
    </row>
    <row r="11" spans="1:8" x14ac:dyDescent="0.25">
      <c r="A11" s="36">
        <v>7</v>
      </c>
      <c r="B11" s="38">
        <v>1.6999999999999999E-3</v>
      </c>
      <c r="C11" s="29">
        <v>3.1699999999999999E-2</v>
      </c>
      <c r="D11" s="31">
        <v>1E-4</v>
      </c>
      <c r="E11" s="31">
        <v>1E-4</v>
      </c>
      <c r="F11" s="31">
        <v>3.7470413831299752E-2</v>
      </c>
      <c r="G11" s="31">
        <v>4.6484762966843514E-2</v>
      </c>
      <c r="H11" s="31">
        <v>1E-4</v>
      </c>
    </row>
    <row r="12" spans="1:8" x14ac:dyDescent="0.25">
      <c r="A12" s="36">
        <v>30</v>
      </c>
      <c r="B12" s="38">
        <v>1.6999999999999999E-3</v>
      </c>
      <c r="C12" s="29">
        <v>3.1699999999999999E-2</v>
      </c>
      <c r="D12" s="31">
        <v>1E-4</v>
      </c>
      <c r="E12" s="31">
        <v>1E-4</v>
      </c>
      <c r="F12" s="31">
        <v>3.672376281275775E-2</v>
      </c>
      <c r="G12" s="31">
        <v>4.5784777636960386E-2</v>
      </c>
      <c r="H12" s="31">
        <v>1E-4</v>
      </c>
    </row>
    <row r="13" spans="1:8" x14ac:dyDescent="0.25">
      <c r="A13" s="36">
        <v>91</v>
      </c>
      <c r="B13" s="38">
        <v>2.2100000000000002E-3</v>
      </c>
      <c r="C13" s="29">
        <v>3.2210000000000003E-2</v>
      </c>
      <c r="D13" s="31">
        <v>1E-4</v>
      </c>
      <c r="E13" s="31">
        <v>1E-4</v>
      </c>
      <c r="F13" s="31">
        <v>3.5309548879402491E-2</v>
      </c>
      <c r="G13" s="31">
        <v>4.449082707443984E-2</v>
      </c>
      <c r="H13" s="31">
        <v>1E-4</v>
      </c>
    </row>
    <row r="14" spans="1:8" x14ac:dyDescent="0.25">
      <c r="A14" s="36">
        <v>182</v>
      </c>
      <c r="B14" s="38">
        <v>2.8600000000000001E-3</v>
      </c>
      <c r="C14" s="29">
        <v>3.286E-2</v>
      </c>
      <c r="D14" s="31">
        <v>1E-4</v>
      </c>
      <c r="E14" s="31">
        <v>1E-4</v>
      </c>
      <c r="F14" s="31">
        <v>3.3234360606783642E-2</v>
      </c>
      <c r="G14" s="31">
        <v>4.2585963068859665E-2</v>
      </c>
      <c r="H14" s="31">
        <v>1E-4</v>
      </c>
    </row>
    <row r="15" spans="1:8" x14ac:dyDescent="0.25">
      <c r="A15" s="36">
        <v>365</v>
      </c>
      <c r="B15" s="38">
        <v>3.5200000000000001E-3</v>
      </c>
      <c r="C15" s="29">
        <v>3.3520000000000001E-2</v>
      </c>
      <c r="D15" s="31">
        <v>1E-4</v>
      </c>
      <c r="E15" s="31">
        <v>1E-4</v>
      </c>
      <c r="F15" s="31">
        <v>2.8902437587427436E-2</v>
      </c>
      <c r="G15" s="31">
        <v>3.8566035238213225E-2</v>
      </c>
      <c r="H15" s="31">
        <v>1E-4</v>
      </c>
    </row>
    <row r="16" spans="1:8" x14ac:dyDescent="0.25">
      <c r="A16" s="36">
        <v>730</v>
      </c>
      <c r="B16" s="38">
        <v>5.9899999999999997E-3</v>
      </c>
      <c r="C16" s="29">
        <v>3.5990000000000001E-2</v>
      </c>
      <c r="D16" s="31">
        <v>1E-4</v>
      </c>
      <c r="E16" s="31">
        <v>1E-4</v>
      </c>
      <c r="F16" s="31">
        <v>2.3103471666206406E-2</v>
      </c>
      <c r="G16" s="31">
        <v>3.3283879687068509E-2</v>
      </c>
      <c r="H16" s="31">
        <v>1E-4</v>
      </c>
    </row>
    <row r="17" spans="1:8" x14ac:dyDescent="0.25">
      <c r="A17" s="36">
        <v>1095</v>
      </c>
      <c r="B17" s="38">
        <v>7.2300000000000003E-3</v>
      </c>
      <c r="C17" s="29">
        <v>3.7229999999999999E-2</v>
      </c>
      <c r="D17" s="31">
        <v>1E-4</v>
      </c>
      <c r="E17" s="31">
        <v>2.9106803829870567E-3</v>
      </c>
      <c r="F17" s="31">
        <v>1.7903594531568708E-2</v>
      </c>
      <c r="G17" s="31">
        <v>2.8486494873345661E-2</v>
      </c>
      <c r="H17" s="31">
        <v>1E-4</v>
      </c>
    </row>
    <row r="18" spans="1:8" x14ac:dyDescent="0.25">
      <c r="A18" s="36">
        <v>1460</v>
      </c>
      <c r="B18" s="38">
        <v>8.43E-3</v>
      </c>
      <c r="C18" s="29">
        <v>3.8429999999999999E-2</v>
      </c>
      <c r="D18" s="31">
        <v>1E-4</v>
      </c>
      <c r="E18" s="31">
        <v>9.0476964046493497E-3</v>
      </c>
      <c r="F18" s="31">
        <v>1.4088213176229233E-2</v>
      </c>
      <c r="G18" s="31">
        <v>2.4984574852714905E-2</v>
      </c>
      <c r="H18" s="31">
        <v>1E-4</v>
      </c>
    </row>
    <row r="19" spans="1:8" x14ac:dyDescent="0.25">
      <c r="A19" s="26">
        <v>1825</v>
      </c>
      <c r="B19" s="38">
        <v>9.6299999999999997E-3</v>
      </c>
      <c r="C19" s="29">
        <v>3.9629999999999999E-2</v>
      </c>
      <c r="D19" s="31">
        <v>1E-4</v>
      </c>
      <c r="E19" s="31">
        <v>1.4092648348356019E-2</v>
      </c>
      <c r="F19" s="31">
        <v>1.1382230249289124E-2</v>
      </c>
      <c r="G19" s="31">
        <v>2.2522715858708554E-2</v>
      </c>
      <c r="H19" s="31">
        <v>1E-4</v>
      </c>
    </row>
    <row r="20" spans="1:8" x14ac:dyDescent="0.25">
      <c r="A20" s="26">
        <v>2190</v>
      </c>
      <c r="B20" s="38">
        <v>1.06E-2</v>
      </c>
      <c r="C20" s="29">
        <v>4.0599999999999997E-2</v>
      </c>
      <c r="D20" s="31">
        <v>1E-4</v>
      </c>
      <c r="E20" s="31">
        <v>1.8057099932986691E-2</v>
      </c>
      <c r="F20" s="31">
        <v>9.3102476871246322E-3</v>
      </c>
      <c r="G20" s="31">
        <v>2.0640857206679339E-2</v>
      </c>
      <c r="H20" s="31">
        <v>5.5914279332065948E-4</v>
      </c>
    </row>
    <row r="21" spans="1:8" x14ac:dyDescent="0.25">
      <c r="A21" s="26">
        <v>2555</v>
      </c>
      <c r="B21" s="38">
        <v>1.157E-2</v>
      </c>
      <c r="C21" s="29">
        <v>4.1569999999999996E-2</v>
      </c>
      <c r="D21" s="31">
        <v>1E-4</v>
      </c>
      <c r="E21" s="31">
        <v>2.1359181171966467E-2</v>
      </c>
      <c r="F21" s="31">
        <v>7.9111492856213661E-3</v>
      </c>
      <c r="G21" s="31">
        <v>1.9389827455270032E-2</v>
      </c>
      <c r="H21" s="31">
        <v>3.750172544729969E-3</v>
      </c>
    </row>
    <row r="22" spans="1:8" x14ac:dyDescent="0.25">
      <c r="A22" s="36">
        <v>2920</v>
      </c>
      <c r="B22" s="38">
        <v>1.2409999999999999E-2</v>
      </c>
      <c r="C22" s="31">
        <v>4.2409999999999996E-2</v>
      </c>
      <c r="D22" s="31">
        <v>1E-4</v>
      </c>
      <c r="E22" s="31">
        <v>2.401540786707005E-2</v>
      </c>
      <c r="F22" s="31">
        <v>6.9060935953574095E-3</v>
      </c>
      <c r="G22" s="31">
        <v>1.850008774564757E-2</v>
      </c>
      <c r="H22" s="31">
        <v>6.3199122543524276E-3</v>
      </c>
    </row>
    <row r="23" spans="1:8" x14ac:dyDescent="0.25">
      <c r="A23" s="36">
        <v>3285</v>
      </c>
      <c r="B23" s="38">
        <v>1.3390000000000001E-2</v>
      </c>
      <c r="C23" s="31">
        <v>4.3389999999999998E-2</v>
      </c>
      <c r="D23" s="31">
        <v>1E-4</v>
      </c>
      <c r="E23" s="31">
        <v>2.6409886639451912E-2</v>
      </c>
      <c r="F23" s="31">
        <v>6.4491627789694892E-3</v>
      </c>
      <c r="G23" s="31">
        <v>1.8132965105283894E-2</v>
      </c>
      <c r="H23" s="31">
        <v>8.6470348947161064E-3</v>
      </c>
    </row>
    <row r="24" spans="1:8" x14ac:dyDescent="0.25">
      <c r="A24" s="36">
        <v>3650</v>
      </c>
      <c r="B24" s="38">
        <v>1.3950000000000001E-2</v>
      </c>
      <c r="C24" s="31">
        <v>4.3950000000000003E-2</v>
      </c>
      <c r="D24" s="31">
        <v>1E-4</v>
      </c>
      <c r="E24" s="31">
        <v>2.8071483815020781E-2</v>
      </c>
      <c r="F24" s="31">
        <v>5.8900799339471448E-3</v>
      </c>
      <c r="G24" s="31">
        <v>1.7643824938075446E-2</v>
      </c>
      <c r="H24" s="31">
        <v>1.0256175061924555E-2</v>
      </c>
    </row>
    <row r="25" spans="1:8" x14ac:dyDescent="0.25">
      <c r="A25" s="36">
        <v>5475</v>
      </c>
      <c r="B25" s="38">
        <v>1.6400000000000001E-2</v>
      </c>
      <c r="C25" s="31">
        <v>4.6399999999999997E-2</v>
      </c>
      <c r="D25" s="31">
        <v>1E-4</v>
      </c>
      <c r="E25" s="31">
        <v>3.3288786508303574E-2</v>
      </c>
      <c r="F25" s="31">
        <v>5.5288518010884382E-3</v>
      </c>
      <c r="G25" s="31">
        <v>1.7458298563520411E-2</v>
      </c>
      <c r="H25" s="31">
        <v>1.5341701436479591E-2</v>
      </c>
    </row>
    <row r="26" spans="1:8" x14ac:dyDescent="0.25">
      <c r="A26" s="36">
        <v>7300</v>
      </c>
      <c r="B26" s="38">
        <v>1.686E-2</v>
      </c>
      <c r="C26" s="31">
        <v>4.6859999999999999E-2</v>
      </c>
      <c r="D26" s="31">
        <v>1E-4</v>
      </c>
      <c r="E26" s="31">
        <v>3.4541632004293207E-2</v>
      </c>
      <c r="F26" s="31">
        <v>5.1834214559561033E-3</v>
      </c>
      <c r="G26" s="31">
        <v>1.7163207614958848E-2</v>
      </c>
      <c r="H26" s="31">
        <v>1.6556792385041152E-2</v>
      </c>
    </row>
    <row r="27" spans="1:8" x14ac:dyDescent="0.25">
      <c r="A27" s="36">
        <v>10950</v>
      </c>
      <c r="B27" s="38">
        <v>1.9140000000000001E-2</v>
      </c>
      <c r="C27" s="31">
        <v>4.9140000000000003E-2</v>
      </c>
      <c r="D27" s="31">
        <v>1E-4</v>
      </c>
      <c r="E27" s="31">
        <v>3.7113866763510514E-2</v>
      </c>
      <c r="F27" s="31">
        <v>7.1665480497670967E-3</v>
      </c>
      <c r="G27" s="31">
        <v>1.9164888796656652E-2</v>
      </c>
      <c r="H27" s="31">
        <v>1.911511120334335E-2</v>
      </c>
    </row>
  </sheetData>
  <mergeCells count="1">
    <mergeCell ref="A1:D2"/>
  </mergeCells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92D050"/>
  </sheetPr>
  <dimension ref="A1:R16"/>
  <sheetViews>
    <sheetView workbookViewId="0">
      <selection activeCell="E22" sqref="E22"/>
    </sheetView>
  </sheetViews>
  <sheetFormatPr defaultColWidth="8.81640625" defaultRowHeight="12.5" x14ac:dyDescent="0.25"/>
  <cols>
    <col min="1" max="1" width="33.1796875" bestFit="1" customWidth="1"/>
    <col min="2" max="2" width="17.453125" bestFit="1" customWidth="1"/>
    <col min="3" max="3" width="7" bestFit="1" customWidth="1"/>
    <col min="4" max="4" width="10.1796875" bestFit="1" customWidth="1"/>
    <col min="5" max="6" width="5" bestFit="1" customWidth="1"/>
    <col min="7" max="7" width="8.453125" customWidth="1"/>
    <col min="8" max="8" width="14.36328125" bestFit="1" customWidth="1"/>
    <col min="9" max="9" width="7" bestFit="1" customWidth="1"/>
    <col min="10" max="10" width="5" bestFit="1" customWidth="1"/>
    <col min="11" max="11" width="10.1796875" bestFit="1" customWidth="1"/>
    <col min="12" max="12" width="18.6328125" bestFit="1" customWidth="1"/>
    <col min="13" max="13" width="8.6328125" bestFit="1" customWidth="1"/>
    <col min="14" max="14" width="6.6328125" bestFit="1" customWidth="1"/>
    <col min="15" max="15" width="9.453125" customWidth="1"/>
    <col min="17" max="17" width="9.1796875" style="38"/>
  </cols>
  <sheetData>
    <row r="1" spans="1:18" s="38" customFormat="1" ht="27.75" customHeight="1" x14ac:dyDescent="0.25">
      <c r="A1" s="23" t="s">
        <v>23</v>
      </c>
      <c r="B1" s="24" t="s">
        <v>24</v>
      </c>
      <c r="C1" s="24" t="s">
        <v>25</v>
      </c>
      <c r="D1" s="24" t="s">
        <v>26</v>
      </c>
      <c r="E1" s="24" t="s">
        <v>27</v>
      </c>
      <c r="F1" s="24" t="s">
        <v>28</v>
      </c>
      <c r="G1" s="24" t="s">
        <v>29</v>
      </c>
      <c r="H1" s="24" t="s">
        <v>30</v>
      </c>
      <c r="I1" s="24" t="s">
        <v>31</v>
      </c>
      <c r="J1" s="24" t="s">
        <v>32</v>
      </c>
      <c r="K1" s="24" t="s">
        <v>33</v>
      </c>
      <c r="L1" s="24" t="s">
        <v>34</v>
      </c>
      <c r="M1" s="24" t="s">
        <v>35</v>
      </c>
      <c r="N1" s="24" t="s">
        <v>36</v>
      </c>
      <c r="O1" s="24" t="s">
        <v>37</v>
      </c>
      <c r="P1" s="24" t="s">
        <v>94</v>
      </c>
    </row>
    <row r="2" spans="1:18" s="38" customFormat="1" x14ac:dyDescent="0.25">
      <c r="A2" s="38" t="s">
        <v>61</v>
      </c>
      <c r="B2" s="34" t="s">
        <v>12</v>
      </c>
      <c r="C2" s="33" t="s">
        <v>75</v>
      </c>
      <c r="D2" s="33" t="s">
        <v>43</v>
      </c>
      <c r="E2" s="33" t="s">
        <v>13</v>
      </c>
      <c r="F2" s="33" t="s">
        <v>63</v>
      </c>
      <c r="G2" s="33" t="s">
        <v>64</v>
      </c>
      <c r="H2" s="33" t="s">
        <v>40</v>
      </c>
      <c r="I2" s="33" t="s">
        <v>62</v>
      </c>
      <c r="J2" s="4">
        <v>792</v>
      </c>
      <c r="K2" s="25">
        <v>41305</v>
      </c>
      <c r="L2" s="38" t="s">
        <v>19</v>
      </c>
      <c r="M2" s="33" t="s">
        <v>42</v>
      </c>
      <c r="N2" s="33" t="s">
        <v>14</v>
      </c>
      <c r="O2" s="35"/>
      <c r="P2" s="2"/>
      <c r="Q2" s="38">
        <v>1139.229730608648</v>
      </c>
      <c r="R2" s="38" t="s">
        <v>97</v>
      </c>
    </row>
    <row r="3" spans="1:18" s="38" customFormat="1" x14ac:dyDescent="0.25">
      <c r="A3" s="38" t="s">
        <v>56</v>
      </c>
      <c r="B3" s="34" t="s">
        <v>12</v>
      </c>
      <c r="C3" s="33" t="s">
        <v>75</v>
      </c>
      <c r="D3" s="33">
        <v>3</v>
      </c>
      <c r="E3" s="33" t="s">
        <v>45</v>
      </c>
      <c r="F3" s="33" t="s">
        <v>57</v>
      </c>
      <c r="G3" s="33" t="s">
        <v>58</v>
      </c>
      <c r="H3" s="33" t="s">
        <v>59</v>
      </c>
      <c r="I3" s="33" t="s">
        <v>60</v>
      </c>
      <c r="J3" s="4">
        <v>1015</v>
      </c>
      <c r="K3" s="25">
        <v>41528</v>
      </c>
      <c r="L3" s="38" t="s">
        <v>19</v>
      </c>
      <c r="M3" s="33" t="s">
        <v>42</v>
      </c>
      <c r="N3" s="33" t="s">
        <v>89</v>
      </c>
      <c r="O3" s="35"/>
      <c r="P3" s="2"/>
      <c r="Q3" s="38">
        <v>2273.8212834826186</v>
      </c>
    </row>
    <row r="4" spans="1:18" s="38" customFormat="1" x14ac:dyDescent="0.25">
      <c r="A4" s="38" t="s">
        <v>44</v>
      </c>
      <c r="B4" s="34" t="s">
        <v>12</v>
      </c>
      <c r="C4" s="33" t="s">
        <v>75</v>
      </c>
      <c r="D4" s="33">
        <v>3</v>
      </c>
      <c r="E4" s="33" t="s">
        <v>45</v>
      </c>
      <c r="F4" s="33">
        <v>100</v>
      </c>
      <c r="G4" s="33" t="s">
        <v>46</v>
      </c>
      <c r="H4" s="33" t="s">
        <v>47</v>
      </c>
      <c r="I4" s="33" t="s">
        <v>48</v>
      </c>
      <c r="J4" s="4">
        <v>1249</v>
      </c>
      <c r="K4" s="25">
        <v>41762</v>
      </c>
      <c r="L4" s="38" t="s">
        <v>19</v>
      </c>
      <c r="M4" s="33" t="s">
        <v>21</v>
      </c>
      <c r="N4" s="33" t="s">
        <v>89</v>
      </c>
      <c r="O4" s="35">
        <v>1E-3</v>
      </c>
      <c r="P4" s="2"/>
      <c r="Q4" s="38">
        <v>153.52234745984097</v>
      </c>
    </row>
    <row r="5" spans="1:18" s="38" customFormat="1" x14ac:dyDescent="0.25">
      <c r="A5" s="38" t="s">
        <v>51</v>
      </c>
      <c r="B5" s="34" t="s">
        <v>12</v>
      </c>
      <c r="C5" s="33" t="s">
        <v>75</v>
      </c>
      <c r="D5" s="33" t="s">
        <v>49</v>
      </c>
      <c r="E5" s="33" t="s">
        <v>76</v>
      </c>
      <c r="F5" s="33" t="s">
        <v>54</v>
      </c>
      <c r="G5" s="33" t="s">
        <v>55</v>
      </c>
      <c r="H5" s="33" t="s">
        <v>52</v>
      </c>
      <c r="I5" s="33" t="s">
        <v>53</v>
      </c>
      <c r="J5" s="4">
        <v>1313</v>
      </c>
      <c r="K5" s="25">
        <v>41826</v>
      </c>
      <c r="L5" s="38" t="s">
        <v>19</v>
      </c>
      <c r="M5" s="33" t="s">
        <v>22</v>
      </c>
      <c r="N5" s="33" t="s">
        <v>1</v>
      </c>
      <c r="O5" s="35">
        <v>1E-3</v>
      </c>
      <c r="P5" s="2"/>
      <c r="Q5" s="38">
        <v>213.5598015959402</v>
      </c>
    </row>
    <row r="6" spans="1:18" s="38" customFormat="1" x14ac:dyDescent="0.25">
      <c r="A6" s="38" t="s">
        <v>70</v>
      </c>
      <c r="B6" s="34" t="s">
        <v>12</v>
      </c>
      <c r="C6" s="33" t="s">
        <v>75</v>
      </c>
      <c r="D6" s="33" t="s">
        <v>49</v>
      </c>
      <c r="E6" s="33" t="s">
        <v>13</v>
      </c>
      <c r="F6" s="33" t="s">
        <v>72</v>
      </c>
      <c r="G6" s="41" t="s">
        <v>96</v>
      </c>
      <c r="H6" s="33" t="s">
        <v>40</v>
      </c>
      <c r="I6" s="33" t="s">
        <v>71</v>
      </c>
      <c r="J6" s="4">
        <v>1479</v>
      </c>
      <c r="K6" s="25">
        <v>41992</v>
      </c>
      <c r="L6" s="38" t="s">
        <v>19</v>
      </c>
      <c r="M6" s="33" t="s">
        <v>42</v>
      </c>
      <c r="N6" s="33" t="s">
        <v>14</v>
      </c>
      <c r="O6" s="35"/>
      <c r="P6" s="2"/>
      <c r="Q6" s="38">
        <v>210.18532826505691</v>
      </c>
    </row>
    <row r="7" spans="1:18" s="38" customFormat="1" x14ac:dyDescent="0.25">
      <c r="A7" s="38" t="s">
        <v>66</v>
      </c>
      <c r="B7" s="34" t="s">
        <v>12</v>
      </c>
      <c r="C7" s="33" t="s">
        <v>75</v>
      </c>
      <c r="D7" s="33" t="s">
        <v>38</v>
      </c>
      <c r="E7" s="33" t="s">
        <v>67</v>
      </c>
      <c r="F7" s="33" t="s">
        <v>65</v>
      </c>
      <c r="G7" s="33" t="s">
        <v>68</v>
      </c>
      <c r="H7" s="33" t="s">
        <v>50</v>
      </c>
      <c r="I7" s="33" t="s">
        <v>69</v>
      </c>
      <c r="J7" s="4">
        <v>9284</v>
      </c>
      <c r="K7" s="25">
        <v>49797</v>
      </c>
      <c r="L7" s="38" t="s">
        <v>19</v>
      </c>
      <c r="M7" s="33" t="s">
        <v>21</v>
      </c>
      <c r="N7" s="33" t="s">
        <v>91</v>
      </c>
      <c r="O7" s="35"/>
      <c r="P7" s="2"/>
      <c r="Q7" s="38">
        <v>129.53049722224819</v>
      </c>
    </row>
    <row r="8" spans="1:18" s="38" customFormat="1" x14ac:dyDescent="0.25">
      <c r="A8" s="38" t="s">
        <v>66</v>
      </c>
      <c r="B8" s="34" t="s">
        <v>12</v>
      </c>
      <c r="C8" s="33" t="s">
        <v>75</v>
      </c>
      <c r="D8" s="33" t="s">
        <v>38</v>
      </c>
      <c r="E8" s="33" t="s">
        <v>67</v>
      </c>
      <c r="F8" s="33" t="s">
        <v>65</v>
      </c>
      <c r="G8" s="33" t="s">
        <v>95</v>
      </c>
      <c r="H8" s="33" t="s">
        <v>50</v>
      </c>
      <c r="I8" s="33" t="s">
        <v>69</v>
      </c>
      <c r="J8" s="4">
        <v>9284</v>
      </c>
      <c r="K8" s="25">
        <v>49797</v>
      </c>
      <c r="L8" s="38" t="s">
        <v>19</v>
      </c>
      <c r="M8" s="33" t="s">
        <v>20</v>
      </c>
      <c r="N8" s="33" t="s">
        <v>91</v>
      </c>
      <c r="O8" s="35"/>
      <c r="P8" s="2"/>
      <c r="Q8" s="38">
        <v>129.74493692281109</v>
      </c>
    </row>
    <row r="10" spans="1:18" s="38" customFormat="1" x14ac:dyDescent="0.25">
      <c r="A10" s="38" t="s">
        <v>81</v>
      </c>
      <c r="B10" s="34" t="s">
        <v>15</v>
      </c>
      <c r="C10" s="33" t="s">
        <v>75</v>
      </c>
      <c r="D10" s="33">
        <v>1</v>
      </c>
      <c r="E10" s="33" t="s">
        <v>13</v>
      </c>
      <c r="F10" s="33" t="s">
        <v>39</v>
      </c>
      <c r="G10" s="33" t="s">
        <v>82</v>
      </c>
      <c r="H10" s="33" t="s">
        <v>83</v>
      </c>
      <c r="I10" s="33" t="s">
        <v>84</v>
      </c>
      <c r="J10" s="4">
        <v>300</v>
      </c>
      <c r="K10" s="25">
        <v>40813</v>
      </c>
      <c r="M10" s="33" t="s">
        <v>22</v>
      </c>
      <c r="N10" s="33" t="s">
        <v>14</v>
      </c>
      <c r="O10" s="35">
        <v>1E-3</v>
      </c>
      <c r="P10" s="2">
        <v>0.05</v>
      </c>
      <c r="Q10" s="38">
        <v>614.83310819620829</v>
      </c>
      <c r="R10" s="38" t="s">
        <v>98</v>
      </c>
    </row>
    <row r="11" spans="1:18" s="38" customFormat="1" x14ac:dyDescent="0.25">
      <c r="A11" s="38" t="s">
        <v>81</v>
      </c>
      <c r="B11" s="34" t="s">
        <v>15</v>
      </c>
      <c r="C11" s="33" t="s">
        <v>75</v>
      </c>
      <c r="D11" s="33">
        <v>1</v>
      </c>
      <c r="E11" s="33" t="s">
        <v>13</v>
      </c>
      <c r="F11" s="33" t="s">
        <v>74</v>
      </c>
      <c r="G11" s="33" t="s">
        <v>85</v>
      </c>
      <c r="H11" s="33" t="s">
        <v>83</v>
      </c>
      <c r="I11" s="33" t="s">
        <v>84</v>
      </c>
      <c r="J11" s="4">
        <v>2622</v>
      </c>
      <c r="K11" s="25">
        <v>43135</v>
      </c>
      <c r="M11" s="33" t="s">
        <v>42</v>
      </c>
      <c r="N11" s="33" t="s">
        <v>14</v>
      </c>
      <c r="O11" s="35">
        <v>1E-3</v>
      </c>
      <c r="P11" s="2">
        <v>0.05</v>
      </c>
      <c r="Q11" s="38">
        <v>269.35884206513288</v>
      </c>
    </row>
    <row r="12" spans="1:18" s="38" customFormat="1" x14ac:dyDescent="0.25">
      <c r="A12" s="38" t="s">
        <v>86</v>
      </c>
      <c r="B12" s="22" t="s">
        <v>15</v>
      </c>
      <c r="C12" s="33" t="s">
        <v>75</v>
      </c>
      <c r="D12" s="33">
        <v>1</v>
      </c>
      <c r="E12" s="33" t="s">
        <v>76</v>
      </c>
      <c r="F12" s="33" t="s">
        <v>41</v>
      </c>
      <c r="G12" s="33" t="s">
        <v>87</v>
      </c>
      <c r="H12" s="33" t="s">
        <v>52</v>
      </c>
      <c r="I12" s="33" t="s">
        <v>88</v>
      </c>
      <c r="J12" s="4">
        <v>181</v>
      </c>
      <c r="K12" s="25">
        <v>40694</v>
      </c>
      <c r="L12" s="3"/>
      <c r="M12" s="33" t="s">
        <v>21</v>
      </c>
      <c r="N12" s="33" t="s">
        <v>1</v>
      </c>
      <c r="O12" s="33"/>
      <c r="P12" s="2"/>
      <c r="Q12" s="38">
        <v>72.138591956835853</v>
      </c>
    </row>
    <row r="13" spans="1:18" s="38" customFormat="1" x14ac:dyDescent="0.25">
      <c r="A13" s="38" t="s">
        <v>77</v>
      </c>
      <c r="B13" s="22" t="s">
        <v>15</v>
      </c>
      <c r="C13" s="33" t="s">
        <v>75</v>
      </c>
      <c r="D13" s="33" t="s">
        <v>38</v>
      </c>
      <c r="E13" s="33" t="s">
        <v>45</v>
      </c>
      <c r="F13" s="33" t="s">
        <v>73</v>
      </c>
      <c r="G13" s="33" t="s">
        <v>78</v>
      </c>
      <c r="H13" s="33" t="s">
        <v>79</v>
      </c>
      <c r="I13" s="33" t="s">
        <v>80</v>
      </c>
      <c r="J13" s="4">
        <v>944</v>
      </c>
      <c r="K13" s="25">
        <v>41457</v>
      </c>
      <c r="L13" s="3"/>
      <c r="M13" s="33" t="s">
        <v>42</v>
      </c>
      <c r="N13" s="33" t="s">
        <v>89</v>
      </c>
      <c r="O13" s="33">
        <v>1E-3</v>
      </c>
      <c r="P13" s="2">
        <v>0.05</v>
      </c>
      <c r="Q13" s="38">
        <v>192.48095014735321</v>
      </c>
    </row>
    <row r="16" spans="1:18" x14ac:dyDescent="0.25">
      <c r="A16" s="38" t="s">
        <v>99</v>
      </c>
      <c r="B16" s="38" t="s">
        <v>81</v>
      </c>
      <c r="C16" s="33" t="s">
        <v>82</v>
      </c>
      <c r="D16">
        <f>510/Q11</f>
        <v>1.8933850327314607</v>
      </c>
    </row>
  </sheetData>
  <phoneticPr fontId="3" type="noConversion"/>
  <pageMargins left="0.7" right="0.7" top="0.75" bottom="0.75" header="0.3" footer="0.3"/>
  <pageSetup orientation="portrait" r:id="rId1"/>
  <headerFooter>
    <oddFooter>&amp;L&amp;1#&amp;"Calibri"&amp;10&amp;K000000Internal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365FB-12B7-E04E-BD82-8A32B1D091A4}">
  <sheetPr codeName="Sheet1"/>
  <dimension ref="A3:D27"/>
  <sheetViews>
    <sheetView tabSelected="1" topLeftCell="A7" workbookViewId="0">
      <selection activeCell="C20" sqref="C20"/>
    </sheetView>
  </sheetViews>
  <sheetFormatPr defaultColWidth="10.90625" defaultRowHeight="12.5" x14ac:dyDescent="0.25"/>
  <sheetData>
    <row r="3" spans="1:4" x14ac:dyDescent="0.25">
      <c r="B3" t="s">
        <v>118</v>
      </c>
      <c r="D3" t="s">
        <v>115</v>
      </c>
    </row>
    <row r="4" spans="1:4" x14ac:dyDescent="0.25">
      <c r="D4" t="s">
        <v>17</v>
      </c>
    </row>
    <row r="5" spans="1:4" x14ac:dyDescent="0.25">
      <c r="B5" t="s">
        <v>114</v>
      </c>
      <c r="D5" t="s">
        <v>116</v>
      </c>
    </row>
    <row r="6" spans="1:4" x14ac:dyDescent="0.25">
      <c r="B6" s="50">
        <v>40452</v>
      </c>
      <c r="D6" t="s">
        <v>117</v>
      </c>
    </row>
    <row r="10" spans="1:4" x14ac:dyDescent="0.25">
      <c r="A10">
        <v>1</v>
      </c>
      <c r="B10" s="51">
        <v>1E-4</v>
      </c>
    </row>
    <row r="11" spans="1:4" x14ac:dyDescent="0.25">
      <c r="A11">
        <v>7</v>
      </c>
      <c r="B11" s="51">
        <v>1E-4</v>
      </c>
    </row>
    <row r="12" spans="1:4" x14ac:dyDescent="0.25">
      <c r="A12">
        <v>30</v>
      </c>
      <c r="B12" s="51">
        <v>1E-4</v>
      </c>
    </row>
    <row r="13" spans="1:4" x14ac:dyDescent="0.25">
      <c r="A13">
        <v>91</v>
      </c>
      <c r="B13" s="51">
        <v>1E-4</v>
      </c>
    </row>
    <row r="14" spans="1:4" x14ac:dyDescent="0.25">
      <c r="A14">
        <v>182</v>
      </c>
      <c r="B14" s="51">
        <v>1E-4</v>
      </c>
    </row>
    <row r="15" spans="1:4" x14ac:dyDescent="0.25">
      <c r="A15">
        <v>365</v>
      </c>
      <c r="B15" s="51">
        <v>1E-4</v>
      </c>
    </row>
    <row r="16" spans="1:4" x14ac:dyDescent="0.25">
      <c r="A16">
        <v>730</v>
      </c>
      <c r="B16" s="51">
        <v>1E-4</v>
      </c>
    </row>
    <row r="17" spans="1:2" x14ac:dyDescent="0.25">
      <c r="A17">
        <v>1095</v>
      </c>
      <c r="B17" s="51">
        <v>1E-4</v>
      </c>
    </row>
    <row r="18" spans="1:2" x14ac:dyDescent="0.25">
      <c r="A18">
        <v>1460</v>
      </c>
      <c r="B18" s="51">
        <v>1E-4</v>
      </c>
    </row>
    <row r="19" spans="1:2" x14ac:dyDescent="0.25">
      <c r="A19">
        <v>1825</v>
      </c>
      <c r="B19" s="51">
        <v>1E-4</v>
      </c>
    </row>
    <row r="20" spans="1:2" x14ac:dyDescent="0.25">
      <c r="A20">
        <v>2190</v>
      </c>
      <c r="B20" s="51">
        <v>5.5914279332065948E-4</v>
      </c>
    </row>
    <row r="21" spans="1:2" x14ac:dyDescent="0.25">
      <c r="A21">
        <v>2555</v>
      </c>
      <c r="B21" s="51">
        <v>3.750172544729969E-3</v>
      </c>
    </row>
    <row r="22" spans="1:2" x14ac:dyDescent="0.25">
      <c r="A22">
        <v>2920</v>
      </c>
      <c r="B22" s="51">
        <v>6.3199122543524276E-3</v>
      </c>
    </row>
    <row r="23" spans="1:2" x14ac:dyDescent="0.25">
      <c r="A23">
        <v>3285</v>
      </c>
      <c r="B23" s="51">
        <v>8.6470348947161064E-3</v>
      </c>
    </row>
    <row r="24" spans="1:2" x14ac:dyDescent="0.25">
      <c r="A24">
        <v>3650</v>
      </c>
      <c r="B24" s="51">
        <v>1.0256175061924555E-2</v>
      </c>
    </row>
    <row r="25" spans="1:2" x14ac:dyDescent="0.25">
      <c r="A25">
        <v>5475</v>
      </c>
      <c r="B25" s="51">
        <v>1.5341701436479591E-2</v>
      </c>
    </row>
    <row r="26" spans="1:2" x14ac:dyDescent="0.25">
      <c r="A26">
        <v>7300</v>
      </c>
      <c r="B26" s="51">
        <v>1.6556792385041152E-2</v>
      </c>
    </row>
    <row r="27" spans="1:2" x14ac:dyDescent="0.25">
      <c r="A27">
        <v>10950</v>
      </c>
      <c r="B27" s="51">
        <v>1.911511120334335E-2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Input</vt:lpstr>
      <vt:lpstr>IRCAD</vt:lpstr>
      <vt:lpstr>IRUSD</vt:lpstr>
      <vt:lpstr>IRJPY</vt:lpstr>
      <vt:lpstr>IREUR</vt:lpstr>
      <vt:lpstr>IRGBP</vt:lpstr>
      <vt:lpstr>IRHKD</vt:lpstr>
      <vt:lpstr>IRAUD</vt:lpstr>
      <vt:lpstr>Shortlisted Securities</vt:lpstr>
      <vt:lpstr>Result</vt:lpstr>
      <vt:lpstr>Input!SessionDate</vt:lpstr>
    </vt:vector>
  </TitlesOfParts>
  <Company>London Business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Models for AMFchapter 4</dc:title>
  <dc:creator>Mary Jackson and Mike Staunton</dc:creator>
  <cp:lastModifiedBy>Owner</cp:lastModifiedBy>
  <dcterms:created xsi:type="dcterms:W3CDTF">2000-09-19T17:27:05Z</dcterms:created>
  <dcterms:modified xsi:type="dcterms:W3CDTF">2020-05-31T20:09:07Z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8c63503-0fb3-4712-a32e-7ecb4b7d79e8_Enabled">
    <vt:lpwstr>True</vt:lpwstr>
  </property>
  <property fmtid="{D5CDD505-2E9C-101B-9397-08002B2CF9AE}" pid="3" name="MSIP_Label_88c63503-0fb3-4712-a32e-7ecb4b7d79e8_SiteId">
    <vt:lpwstr>d9da684f-2c03-432a-a7b6-ed714ffc7683</vt:lpwstr>
  </property>
  <property fmtid="{D5CDD505-2E9C-101B-9397-08002B2CF9AE}" pid="4" name="MSIP_Label_88c63503-0fb3-4712-a32e-7ecb4b7d79e8_Owner">
    <vt:lpwstr>FRANK.Su@tdsecurities.com</vt:lpwstr>
  </property>
  <property fmtid="{D5CDD505-2E9C-101B-9397-08002B2CF9AE}" pid="5" name="MSIP_Label_88c63503-0fb3-4712-a32e-7ecb4b7d79e8_SetDate">
    <vt:lpwstr>2020-02-19T22:52:13.6225455Z</vt:lpwstr>
  </property>
  <property fmtid="{D5CDD505-2E9C-101B-9397-08002B2CF9AE}" pid="6" name="MSIP_Label_88c63503-0fb3-4712-a32e-7ecb4b7d79e8_Name">
    <vt:lpwstr>Internal</vt:lpwstr>
  </property>
  <property fmtid="{D5CDD505-2E9C-101B-9397-08002B2CF9AE}" pid="7" name="MSIP_Label_88c63503-0fb3-4712-a32e-7ecb4b7d79e8_Application">
    <vt:lpwstr>Microsoft Azure Information Protection</vt:lpwstr>
  </property>
  <property fmtid="{D5CDD505-2E9C-101B-9397-08002B2CF9AE}" pid="8" name="MSIP_Label_88c63503-0fb3-4712-a32e-7ecb4b7d79e8_Extended_MSFT_Method">
    <vt:lpwstr>Automatic</vt:lpwstr>
  </property>
  <property fmtid="{D5CDD505-2E9C-101B-9397-08002B2CF9AE}" pid="9" name="TD_Classification">
    <vt:lpwstr>Internal</vt:lpwstr>
  </property>
</Properties>
</file>
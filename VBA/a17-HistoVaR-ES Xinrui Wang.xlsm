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8_{7B59BD60-2A0C-43FC-A095-77950E4A829B}" xr6:coauthVersionLast="45" xr6:coauthVersionMax="45" xr10:uidLastSave="{00000000-0000-0000-0000-000000000000}"/>
  <bookViews>
    <workbookView xWindow="10100" yWindow="1620" windowWidth="9100" windowHeight="8720" tabRatio="899" firstSheet="1" activeTab="1" xr2:uid="{00000000-000D-0000-FFFF-FFFF00000000}"/>
  </bookViews>
  <sheets>
    <sheet name="Intro" sheetId="12" r:id="rId1"/>
    <sheet name="assignment" sheetId="14" r:id="rId2"/>
    <sheet name="Results" sheetId="50" state="hidden" r:id="rId3"/>
    <sheet name="ScenarioSet" sheetId="60" r:id="rId4"/>
    <sheet name="Trading Portfolio 2" sheetId="32" r:id="rId5"/>
    <sheet name="Trading Portfolio 3" sheetId="26" r:id="rId6"/>
    <sheet name="Trading Portfolio 4" sheetId="47" r:id="rId7"/>
    <sheet name="Trading Portfolio 5" sheetId="51" r:id="rId8"/>
    <sheet name="Trading Portfolio 7" sheetId="55" r:id="rId9"/>
    <sheet name="CADUSD FX Fwd" sheetId="23" r:id="rId10"/>
    <sheet name="EURCAD FX Fwd" sheetId="25" r:id="rId11"/>
    <sheet name="USDEUR FX Fwd" sheetId="48" r:id="rId12"/>
    <sheet name="Stock RNN" sheetId="38" r:id="rId13"/>
    <sheet name="Stock DJ" sheetId="29" r:id="rId14"/>
    <sheet name="Stock AOL" sheetId="28" r:id="rId15"/>
    <sheet name="RNN EQ Fwd" sheetId="41" r:id="rId16"/>
    <sheet name="DJ EQ Fwd" sheetId="40" r:id="rId17"/>
    <sheet name="AOL EQ Fwd" sheetId="27" r:id="rId18"/>
    <sheet name="bondmkt" sheetId="2" r:id="rId19"/>
    <sheet name="IRGBP" sheetId="7" r:id="rId20"/>
    <sheet name="IREUR" sheetId="8" r:id="rId21"/>
    <sheet name="IRUSD" sheetId="10" r:id="rId22"/>
    <sheet name="IRCAD" sheetId="11" r:id="rId23"/>
    <sheet name="IRJPY" sheetId="59" r:id="rId24"/>
    <sheet name="IRHKD" sheetId="57" r:id="rId25"/>
    <sheet name="IRAUD" sheetId="58" r:id="rId26"/>
    <sheet name="SpotFX" sheetId="19" r:id="rId27"/>
    <sheet name="SubVCV3" sheetId="21" r:id="rId28"/>
    <sheet name="GrowthNormalPara" sheetId="35" state="hidden" r:id="rId29"/>
    <sheet name="Data" sheetId="4" r:id="rId30"/>
    <sheet name="GBMPara" sheetId="42" state="hidden" r:id="rId31"/>
    <sheet name="BKModelPara" sheetId="36" state="hidden" r:id="rId32"/>
    <sheet name="OUModelPara" sheetId="37" state="hidden" r:id="rId33"/>
    <sheet name="Output File" sheetId="52" state="hidden" r:id="rId34"/>
  </sheets>
  <functionGroups builtInGroupCount="19"/>
  <externalReferences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bb">[1]Data!$E$2:$E$5</definedName>
    <definedName name="bs" localSheetId="23">[2]Data!$E$2:$E$5</definedName>
    <definedName name="bs" localSheetId="3">[3]Data!#REF!</definedName>
    <definedName name="bs">Data!#REF!</definedName>
    <definedName name="cflow1">#REF!</definedName>
    <definedName name="cflow2">#REF!</definedName>
    <definedName name="CIQWBGuid" hidden="1">"c439e9a4-f0ff-4838-af99-65d207d67fcd"</definedName>
    <definedName name="ComRate">[4]Lookup!$F$5:$G$7</definedName>
    <definedName name="curr">#REF!</definedName>
    <definedName name="dvec">#REF!</definedName>
    <definedName name="Index">[4]Beta!$C$5:$C$64</definedName>
    <definedName name="invA">[4]MatDef!$I$17:$K$19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"03/26/2020 23:58:26"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ID" localSheetId="3">[3]bondmkt!$G$2:$G$266</definedName>
    <definedName name="ISSUEID">bondmkt!$G$2:$G$266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TOCURR">Data!$A$2:$A$8</definedName>
    <definedName name="tsim">Data!$C$2:$C$8</definedName>
    <definedName name="Y">[4]MatDef!$C$21:$C$23</definedName>
  </definedNames>
  <calcPr calcId="191029" calcOnSave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4" l="1"/>
  <c r="G83" i="4" l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9" i="4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7" i="4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6" i="4" l="1"/>
  <c r="G5" i="4"/>
  <c r="G4" i="4"/>
  <c r="G3" i="4"/>
  <c r="G2" i="4"/>
  <c r="B6" i="58" l="1"/>
  <c r="B6" i="57"/>
  <c r="B6" i="59"/>
  <c r="B7" i="38" l="1"/>
  <c r="Q2" i="2" l="1"/>
  <c r="B6" i="7"/>
  <c r="B6" i="10"/>
  <c r="B6" i="8"/>
  <c r="B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3158F6E0-1745-5741-9C62-A83591A9874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FE77EA4-50BB-0844-BB73-C62C4C7756E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960C08F5-B43F-CC40-ADF4-89840A569AE6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<sst xmlns="http://schemas.openxmlformats.org/spreadsheetml/2006/main" count="3767" uniqueCount="862">
  <si>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</si>
  <si>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</si>
  <si>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</si>
  <si>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</si>
  <si>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</si>
  <si>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</si>
  <si>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</si>
  <si>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</si>
  <si>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</si>
  <si>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</si>
  <si>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</si>
  <si>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</si>
  <si>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</si>
  <si>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</si>
  <si>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</si>
  <si>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Laureate Education Inc.</t>
  </si>
  <si>
    <t>Floating Rate Note</t>
  </si>
  <si>
    <t>B</t>
  </si>
  <si>
    <t>4</t>
  </si>
  <si>
    <t>USD</t>
  </si>
  <si>
    <t>475</t>
  </si>
  <si>
    <t>850057</t>
  </si>
  <si>
    <t>United States</t>
  </si>
  <si>
    <t>422319</t>
  </si>
  <si>
    <t>6 months</t>
  </si>
  <si>
    <t>IRUSD</t>
  </si>
  <si>
    <t>JohnsonDiversey Canada Inc.</t>
  </si>
  <si>
    <t>BB</t>
  </si>
  <si>
    <t>2</t>
  </si>
  <si>
    <t>CAD</t>
  </si>
  <si>
    <t>250</t>
  </si>
  <si>
    <t>1091914</t>
  </si>
  <si>
    <t>Canada</t>
  </si>
  <si>
    <t>479711</t>
  </si>
  <si>
    <t>IRCAD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</si>
  <si>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</si>
  <si>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</si>
  <si>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</si>
  <si>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</si>
  <si>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</si>
  <si>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</si>
  <si>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</si>
  <si>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</si>
  <si>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</si>
  <si>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</si>
  <si>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</si>
  <si>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</si>
  <si>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</si>
  <si>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</si>
  <si>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</si>
  <si>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</si>
  <si>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EUR</t>
  </si>
  <si>
    <t>128</t>
  </si>
  <si>
    <t>1017619</t>
  </si>
  <si>
    <t>Kazakhstan</t>
  </si>
  <si>
    <t>326883</t>
  </si>
  <si>
    <t>IREUR</t>
  </si>
  <si>
    <t>75</t>
  </si>
  <si>
    <t>1017640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</si>
  <si>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</si>
  <si>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</si>
  <si>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</si>
  <si>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</si>
  <si>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</si>
  <si>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</si>
  <si>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</si>
  <si>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</si>
  <si>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</si>
  <si>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</si>
  <si>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</si>
  <si>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</si>
  <si>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</si>
  <si>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</si>
  <si>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</si>
  <si>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</si>
  <si>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</si>
  <si>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</si>
  <si>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</si>
  <si>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</si>
  <si>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</si>
  <si>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</si>
  <si>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</si>
  <si>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</si>
  <si>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</si>
  <si>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</si>
  <si>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</si>
  <si>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</si>
  <si>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</si>
  <si>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</si>
  <si>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</si>
  <si>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</si>
  <si>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</si>
  <si>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</si>
  <si>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</si>
  <si>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</si>
  <si>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</si>
  <si>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</si>
  <si>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</si>
  <si>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</si>
  <si>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</si>
  <si>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</si>
  <si>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</si>
  <si>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</si>
  <si>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</si>
  <si>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</si>
  <si>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</si>
  <si>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</si>
  <si>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</si>
  <si>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</si>
  <si>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</si>
  <si>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</si>
  <si>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</si>
  <si>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</si>
  <si>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</si>
  <si>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</si>
  <si>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</si>
  <si>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</si>
  <si>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</si>
  <si>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</si>
  <si>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</si>
  <si>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</si>
  <si>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</si>
  <si>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</si>
  <si>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</si>
  <si>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</si>
  <si>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</si>
  <si>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</si>
  <si>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</si>
  <si>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</si>
  <si>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</si>
  <si>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</si>
  <si>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</si>
  <si>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</si>
  <si>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</si>
  <si>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</si>
  <si>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</si>
  <si>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</si>
  <si>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</si>
  <si>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</si>
  <si>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</si>
  <si>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</si>
  <si>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</si>
  <si>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</si>
  <si>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</si>
  <si>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</si>
  <si>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</si>
  <si>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</si>
  <si>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</si>
  <si>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</si>
  <si>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</si>
  <si>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</si>
  <si>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</si>
  <si>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</si>
  <si>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</si>
  <si>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</si>
  <si>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</si>
  <si>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</si>
  <si>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</si>
  <si>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</si>
  <si>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</si>
  <si>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</si>
  <si>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</si>
  <si>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</si>
  <si>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</si>
  <si>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</si>
  <si>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</si>
  <si>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</si>
  <si>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</si>
  <si>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</si>
  <si>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</si>
  <si>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</si>
  <si>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</si>
  <si>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</si>
  <si>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</si>
  <si>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</si>
  <si>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</si>
  <si>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</si>
  <si>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</si>
  <si>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</si>
  <si>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</si>
  <si>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</si>
  <si>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</si>
  <si>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</si>
  <si>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</si>
  <si>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</si>
  <si>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</si>
  <si>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</si>
  <si>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</si>
  <si>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</si>
  <si>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</si>
  <si>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</si>
  <si>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</si>
  <si>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</si>
  <si>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</si>
  <si>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</si>
  <si>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</si>
  <si>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</si>
  <si>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</si>
  <si>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</si>
  <si>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</si>
  <si>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GBP</t>
  </si>
  <si>
    <t>100</t>
  </si>
  <si>
    <t>1099594</t>
  </si>
  <si>
    <t>United Kingdom</t>
  </si>
  <si>
    <t>480048</t>
  </si>
  <si>
    <t>IRGBP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</si>
  <si>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</si>
  <si>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</si>
  <si>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</si>
  <si>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</si>
  <si>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</si>
  <si>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</si>
  <si>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</si>
  <si>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</si>
  <si>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</si>
  <si>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</si>
  <si>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</si>
  <si>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</si>
  <si>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</si>
  <si>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</si>
  <si>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</si>
  <si>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</si>
  <si>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</si>
  <si>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</si>
  <si>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</si>
  <si>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</si>
  <si>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</si>
  <si>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</si>
  <si>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</si>
  <si>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</si>
  <si>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</si>
  <si>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</si>
  <si>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</si>
  <si>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</si>
  <si>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</si>
  <si>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</si>
  <si>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</si>
  <si>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</si>
  <si>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</si>
  <si>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</si>
  <si>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</si>
  <si>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</si>
  <si>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</si>
  <si>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</si>
  <si>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</si>
  <si>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</si>
  <si>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</si>
  <si>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</si>
  <si>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</si>
  <si>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</si>
  <si>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</si>
  <si>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</si>
  <si>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</si>
  <si>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</si>
  <si>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</si>
  <si>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</si>
  <si>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</si>
  <si>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</si>
  <si>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</si>
  <si>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</si>
  <si>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</si>
  <si>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</si>
  <si>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</si>
  <si>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</si>
  <si>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</si>
  <si>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</si>
  <si>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</si>
  <si>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</si>
  <si>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</si>
  <si>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</si>
  <si>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</si>
  <si>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</si>
  <si>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</si>
  <si>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</si>
  <si>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</si>
  <si>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</si>
  <si>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</si>
  <si>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</si>
  <si>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</si>
  <si>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</si>
  <si>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</si>
  <si>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</si>
  <si>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</si>
  <si>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</si>
  <si>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</si>
  <si>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</si>
  <si>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</si>
  <si>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</si>
  <si>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</si>
  <si>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</si>
  <si>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</si>
  <si>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</si>
  <si>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</si>
  <si>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</si>
  <si>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</si>
  <si>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</si>
  <si>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</si>
  <si>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</si>
  <si>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</si>
  <si>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</si>
  <si>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</si>
  <si>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</si>
  <si>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</si>
  <si>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</si>
  <si>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</si>
  <si>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</si>
  <si>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</si>
  <si>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</si>
  <si>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</si>
  <si>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</si>
  <si>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</si>
  <si>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</si>
  <si>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</si>
  <si>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</si>
  <si>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</si>
  <si>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</si>
  <si>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</si>
  <si>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</si>
  <si>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</si>
  <si>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</si>
  <si>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</si>
  <si>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</si>
  <si>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</si>
  <si>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</si>
  <si>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</si>
  <si>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</si>
  <si>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</si>
  <si>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</si>
  <si>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</si>
  <si>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</si>
  <si>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</si>
  <si>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</si>
  <si>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</si>
  <si>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</si>
  <si>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</si>
  <si>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</si>
  <si>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</si>
  <si>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</si>
  <si>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</si>
  <si>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</si>
  <si>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</si>
  <si>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</si>
  <si>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</si>
  <si>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</si>
  <si>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</si>
  <si>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</si>
  <si>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</si>
  <si>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</si>
  <si>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</si>
  <si>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</si>
  <si>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</si>
  <si>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</si>
  <si>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</si>
  <si>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</si>
  <si>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</si>
  <si>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</si>
  <si>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</si>
  <si>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</si>
  <si>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</si>
  <si>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</si>
  <si>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</si>
  <si>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</si>
  <si>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</si>
  <si>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</si>
  <si>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</si>
  <si>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</si>
  <si>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</si>
  <si>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</si>
  <si>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</si>
  <si>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</si>
  <si>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</si>
  <si>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</si>
  <si>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</si>
  <si>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</si>
  <si>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</si>
  <si>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</si>
  <si>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</si>
  <si>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</si>
  <si>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</si>
  <si>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</si>
  <si>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</si>
  <si>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</si>
  <si>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</si>
  <si>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</si>
  <si>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</si>
  <si>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</si>
  <si>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</si>
  <si>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</si>
  <si>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</si>
  <si>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</si>
  <si>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</si>
  <si>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</si>
  <si>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</si>
  <si>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</si>
  <si>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</si>
  <si>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</si>
  <si>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</si>
  <si>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</si>
  <si>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</si>
  <si>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</si>
  <si>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</si>
  <si>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</si>
  <si>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</si>
  <si>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</si>
  <si>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</si>
  <si>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</si>
  <si>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</si>
  <si>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</si>
  <si>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</si>
  <si>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</si>
  <si>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</si>
  <si>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</si>
  <si>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</si>
  <si>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</si>
  <si>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</si>
  <si>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</si>
  <si>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</si>
  <si>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</si>
  <si>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</si>
  <si>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</si>
  <si>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</si>
  <si>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</si>
  <si>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</si>
  <si>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</si>
  <si>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</si>
  <si>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</si>
  <si>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</si>
  <si>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</si>
  <si>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</si>
  <si>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</si>
  <si>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</si>
  <si>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</si>
  <si>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</si>
  <si>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</si>
  <si>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</si>
  <si>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</si>
  <si>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</si>
  <si>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</si>
  <si>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</si>
  <si>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</si>
  <si>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</si>
  <si>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</si>
  <si>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</si>
  <si>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</si>
  <si>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</si>
  <si>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</si>
  <si>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</si>
  <si>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</si>
  <si>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</si>
  <si>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</si>
  <si>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</si>
  <si>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</si>
  <si>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</si>
  <si>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</si>
  <si>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</si>
  <si>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</si>
  <si>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</si>
  <si>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</si>
  <si>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</si>
  <si>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</si>
  <si>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</si>
  <si>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</si>
  <si>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</si>
  <si>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</si>
  <si>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</si>
  <si>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</si>
  <si>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</si>
  <si>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</si>
  <si>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</si>
  <si>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</si>
  <si>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</si>
  <si>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</si>
  <si>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</si>
  <si>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</si>
  <si>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</si>
  <si>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</si>
  <si>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</si>
  <si>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</si>
  <si>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</si>
  <si>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</si>
  <si>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</si>
  <si>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</si>
  <si>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</si>
  <si>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</si>
  <si>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</si>
  <si>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</si>
  <si>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</si>
  <si>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</si>
  <si>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</si>
  <si>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</si>
  <si>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</si>
  <si>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</si>
  <si>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</si>
  <si>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</si>
  <si>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</si>
  <si>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</si>
  <si>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</si>
  <si>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</si>
  <si>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</si>
  <si>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</si>
  <si>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</si>
  <si>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</si>
  <si>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</si>
  <si>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</si>
  <si>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</si>
  <si>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</si>
  <si>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</si>
  <si>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</si>
  <si>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</si>
  <si>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</si>
  <si>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</si>
  <si>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</si>
  <si>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</si>
  <si>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</si>
  <si>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</si>
  <si>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</si>
  <si>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</si>
  <si>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</si>
  <si>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</si>
  <si>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</si>
  <si>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</si>
  <si>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</si>
  <si>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</si>
  <si>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</si>
  <si>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</si>
  <si>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</si>
  <si>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</si>
  <si>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</si>
  <si>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</si>
  <si>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</si>
  <si>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</si>
  <si>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</si>
  <si>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</si>
  <si>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</si>
  <si>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</si>
  <si>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</si>
  <si>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</si>
  <si>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</si>
  <si>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</si>
  <si>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</si>
  <si>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</si>
  <si>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</si>
  <si>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</si>
  <si>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</si>
  <si>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</si>
  <si>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</si>
  <si>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</si>
  <si>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</si>
  <si>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</si>
  <si>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</si>
  <si>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</si>
  <si>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</si>
  <si>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</si>
  <si>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</si>
  <si>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</si>
  <si>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</si>
  <si>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</si>
  <si>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</si>
  <si>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</si>
  <si>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</si>
  <si>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</si>
  <si>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</si>
  <si>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</si>
  <si>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</si>
  <si>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</si>
  <si>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</si>
  <si>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</si>
  <si>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</si>
  <si>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</si>
  <si>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</si>
  <si>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</si>
  <si>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</si>
  <si>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</si>
  <si>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</si>
  <si>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</si>
  <si>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</si>
  <si>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</si>
  <si>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</si>
  <si>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</si>
  <si>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</si>
  <si>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</si>
  <si>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</si>
  <si>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</si>
  <si>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</si>
  <si>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</si>
  <si>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</si>
  <si>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</si>
  <si>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</si>
  <si>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</si>
  <si>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</si>
  <si>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</si>
  <si>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</si>
  <si>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</si>
  <si>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</si>
  <si>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</si>
  <si>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</si>
  <si>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</si>
  <si>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</si>
  <si>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</si>
  <si>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</si>
  <si>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</si>
  <si>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</si>
  <si>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</si>
  <si>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</si>
  <si>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</si>
  <si>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</si>
  <si>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</si>
  <si>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</si>
  <si>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</si>
  <si>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</si>
  <si>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</si>
  <si>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</si>
  <si>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</si>
  <si>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</si>
  <si>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</si>
  <si>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</si>
  <si>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</si>
  <si>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</si>
  <si>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</si>
  <si>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</si>
  <si>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</si>
  <si>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</si>
  <si>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</si>
  <si>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</si>
  <si>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</si>
  <si>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</si>
  <si>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</si>
  <si>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</si>
  <si>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</si>
  <si>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</si>
  <si>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</si>
  <si>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</si>
  <si>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</si>
  <si>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</si>
  <si>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</si>
  <si>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</si>
  <si>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</si>
  <si>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</si>
  <si>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</si>
  <si>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</si>
  <si>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</si>
  <si>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</si>
  <si>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</si>
  <si>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</si>
  <si>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</si>
  <si>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</si>
  <si>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</si>
  <si>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</si>
  <si>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</si>
  <si>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</si>
  <si>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</si>
  <si>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</si>
  <si>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</si>
  <si>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</si>
  <si>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</si>
  <si>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</si>
  <si>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</si>
  <si>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</si>
  <si>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</si>
  <si>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</si>
  <si>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</si>
  <si>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</si>
  <si>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</si>
  <si>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</si>
  <si>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</si>
  <si>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</si>
  <si>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</si>
  <si>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</si>
  <si>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t>LAST_RESET_RATE</t>
  </si>
  <si>
    <t>Bond File</t>
  </si>
  <si>
    <t>bondmkt</t>
  </si>
  <si>
    <t>Requirement</t>
  </si>
  <si>
    <t>To_Curr</t>
  </si>
  <si>
    <t>CAD</t>
    <phoneticPr fontId="0" type="noConversion"/>
  </si>
  <si>
    <t>EUR</t>
    <phoneticPr fontId="0" type="noConversion"/>
  </si>
  <si>
    <t>USD</t>
    <phoneticPr fontId="0" type="noConversion"/>
  </si>
  <si>
    <t>GBP</t>
    <phoneticPr fontId="0" type="noConversion"/>
  </si>
  <si>
    <t>Name</t>
  </si>
  <si>
    <t>Interpolate Term</t>
  </si>
  <si>
    <t>@Linear()</t>
  </si>
  <si>
    <t>ID</t>
  </si>
  <si>
    <t>Curve Unit</t>
  </si>
  <si>
    <t>SMP actual/365</t>
  </si>
  <si>
    <t>Type</t>
  </si>
  <si>
    <t>Zero</t>
  </si>
  <si>
    <t>RiskMetrics Link</t>
  </si>
  <si>
    <t>Datum</t>
  </si>
  <si>
    <t>Term/Time</t>
  </si>
  <si>
    <t>Origin</t>
  </si>
  <si>
    <t>eco2508h:IRCAD</t>
  </si>
  <si>
    <t xml:space="preserve">Origin </t>
  </si>
  <si>
    <t>Note: assume today's date:</t>
  </si>
  <si>
    <t>Currency</t>
  </si>
  <si>
    <t>SpotFX</t>
  </si>
  <si>
    <t>Spot Exchange Rate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</si>
  <si>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</si>
  <si>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</si>
  <si>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</si>
  <si>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</si>
  <si>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</si>
  <si>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CAD.Z(T1)</t>
  </si>
  <si>
    <t>CAD.Z(T7)</t>
  </si>
  <si>
    <t>CAD.Z(T30)</t>
  </si>
  <si>
    <t>CAD.Z(T730)</t>
  </si>
  <si>
    <t>CAD.Z(T1095)</t>
  </si>
  <si>
    <t>CAD.Z(T3650)</t>
  </si>
  <si>
    <t>CAD.Z(T5475)</t>
  </si>
  <si>
    <t>CAD.Z(T7300)</t>
  </si>
  <si>
    <t>CAD.XS</t>
  </si>
  <si>
    <t>EUR.XS</t>
  </si>
  <si>
    <t>GBP.XS</t>
  </si>
  <si>
    <t>USD.Z(T1)</t>
  </si>
  <si>
    <t>USD.Z(T7)</t>
  </si>
  <si>
    <t>USD.Z(T30)</t>
  </si>
  <si>
    <t>USD.Z(T730)</t>
  </si>
  <si>
    <t>USD.Z(T1095)</t>
  </si>
  <si>
    <t>USD.Z(T1825)</t>
  </si>
  <si>
    <t>EUR.Z(T7)</t>
  </si>
  <si>
    <t>EUR.Z(T30)</t>
  </si>
  <si>
    <t>EUR.Z(T730)</t>
  </si>
  <si>
    <t>PLN.XS</t>
  </si>
  <si>
    <t>USD.SE</t>
  </si>
  <si>
    <t>CAD.SE</t>
  </si>
  <si>
    <t>USD.#RNN</t>
  </si>
  <si>
    <t>CAD.Z(T60)</t>
  </si>
  <si>
    <t>CAD.Z(T90)</t>
  </si>
  <si>
    <t>CAD.Z(T180)</t>
  </si>
  <si>
    <t>CAD.Z(T270)</t>
  </si>
  <si>
    <t>CAD.Z(T360)</t>
  </si>
  <si>
    <t>CAD.Z(T1825)</t>
  </si>
  <si>
    <t>EUR.Z(T1)</t>
  </si>
  <si>
    <t>EUR.Z(T60)</t>
  </si>
  <si>
    <t>EUR.Z(T90)</t>
  </si>
  <si>
    <t>EUR.Z(T180)</t>
  </si>
  <si>
    <t>EUR.Z(T270)</t>
  </si>
  <si>
    <t>EUR.Z(T360)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</si>
  <si>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</si>
  <si>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</si>
  <si>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</si>
  <si>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</si>
  <si>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</si>
  <si>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</si>
  <si>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</si>
  <si>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</si>
  <si>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</si>
  <si>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</si>
  <si>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</si>
  <si>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</si>
  <si>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</si>
  <si>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</si>
  <si>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</si>
  <si>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</si>
  <si>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</si>
  <si>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</si>
  <si>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</si>
  <si>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USD.Z(T60)</t>
  </si>
  <si>
    <t>USD.Z(T90)</t>
  </si>
  <si>
    <t>USD.Z(T180)</t>
  </si>
  <si>
    <t>USD.Z(T270)</t>
  </si>
  <si>
    <t>USD.Z(T360)</t>
  </si>
  <si>
    <t>USD.Z(T3650)</t>
  </si>
  <si>
    <t>USD.Z(T5475)</t>
  </si>
  <si>
    <t>USD.Z(T7300)</t>
  </si>
  <si>
    <t>SubVCV3</t>
  </si>
  <si>
    <t>eco2508h:IREUR</t>
  </si>
  <si>
    <t>eco2508h:IRUSD</t>
  </si>
  <si>
    <t>eco2508h:IRGBP</t>
  </si>
  <si>
    <t>VCV</t>
  </si>
  <si>
    <t>CAD/USD FX Forward</t>
  </si>
  <si>
    <t>Contract Size</t>
  </si>
  <si>
    <t>Effective Date</t>
  </si>
  <si>
    <t>Discount Curve</t>
  </si>
  <si>
    <t>Life Term</t>
  </si>
  <si>
    <t>Strike Price</t>
  </si>
  <si>
    <t>CAD/USD</t>
  </si>
  <si>
    <t>Underlying (Foreign Currency)</t>
  </si>
  <si>
    <t>Foreign Discount Curve</t>
  </si>
  <si>
    <t>THEO/Value</t>
  </si>
  <si>
    <t>EUR/CAD FX Forward</t>
  </si>
  <si>
    <t>in days. Maturity date = effective date + Life Term</t>
  </si>
  <si>
    <t>EUR/CAD</t>
  </si>
  <si>
    <t>Position Units:</t>
  </si>
  <si>
    <t>Names:</t>
  </si>
  <si>
    <t>CADUSD FX Fwd</t>
  </si>
  <si>
    <t>EURCAD FX Fwd</t>
  </si>
  <si>
    <t>USDEUR FX Fwd</t>
  </si>
  <si>
    <t>Common Stock</t>
  </si>
  <si>
    <t>AOL</t>
  </si>
  <si>
    <t>Position Units</t>
  </si>
  <si>
    <t>Spot Price</t>
  </si>
  <si>
    <t>Betas</t>
  </si>
  <si>
    <t>Pricing Model</t>
  </si>
  <si>
    <t>APT</t>
  </si>
  <si>
    <t>Equity Forward</t>
  </si>
  <si>
    <t>AOL EQ Fwd</t>
  </si>
  <si>
    <t>relative to today's date</t>
  </si>
  <si>
    <t>Underlying</t>
  </si>
  <si>
    <t>CAPM</t>
  </si>
  <si>
    <t>Risk Factors</t>
  </si>
  <si>
    <t>Stock DJ</t>
  </si>
  <si>
    <t>Trading Portfolio</t>
  </si>
  <si>
    <t>Trading Portfolio 2</t>
  </si>
  <si>
    <t>&lt;-  click to read instruction</t>
  </si>
  <si>
    <t>Trading Portfolio 3</t>
  </si>
  <si>
    <t>USD.APT1</t>
  </si>
  <si>
    <t>USD.APT2</t>
  </si>
  <si>
    <t>USD.APT3</t>
  </si>
  <si>
    <t>Base Currency:</t>
  </si>
  <si>
    <t>Portfolio Instruments:</t>
  </si>
  <si>
    <t>Bond Portfolio</t>
  </si>
  <si>
    <t>Bond Portfolio 1</t>
  </si>
  <si>
    <t>Bond Portfolio 2</t>
  </si>
  <si>
    <t>Currency:</t>
  </si>
  <si>
    <t>Instruments:</t>
  </si>
  <si>
    <t>Trading Portfolio:</t>
  </si>
  <si>
    <t>Growth</t>
  </si>
  <si>
    <t>Mean Reversion Speed</t>
  </si>
  <si>
    <t>Mean Reversion Level</t>
  </si>
  <si>
    <t>USD.#EDA</t>
  </si>
  <si>
    <t>CAD.#EBH</t>
  </si>
  <si>
    <t>DJ</t>
  </si>
  <si>
    <t>RNN</t>
  </si>
  <si>
    <t>Instruments</t>
  </si>
  <si>
    <t>DJ EQ Fwd</t>
  </si>
  <si>
    <t>RNN EQ Fwd</t>
  </si>
  <si>
    <t>DJ  EQ Fwd</t>
  </si>
  <si>
    <t>RNN  EQ Fwd</t>
  </si>
  <si>
    <t>FX Fwd</t>
  </si>
  <si>
    <t>Spot FX File</t>
  </si>
  <si>
    <t>FXForward</t>
  </si>
  <si>
    <t>POS Units</t>
  </si>
  <si>
    <t>Trading Portfolio 4</t>
  </si>
  <si>
    <t>USDEUR FX Forward</t>
  </si>
  <si>
    <t>Trading Portfolio 5</t>
  </si>
  <si>
    <t>Trading Portfolio 7</t>
  </si>
  <si>
    <t>HKD</t>
  </si>
  <si>
    <t>AUD</t>
  </si>
  <si>
    <t>JPY</t>
  </si>
  <si>
    <t xml:space="preserve">HKD Discount Curve: </t>
  </si>
  <si>
    <t>IRHKD</t>
  </si>
  <si>
    <t>IRAUD</t>
  </si>
  <si>
    <t xml:space="preserve">JPY Discount Curve: </t>
  </si>
  <si>
    <t>IRJPY</t>
  </si>
  <si>
    <t>Base</t>
  </si>
  <si>
    <t>IRTWD</t>
  </si>
  <si>
    <t>Stock RNN</t>
  </si>
  <si>
    <t>eco2508</t>
  </si>
  <si>
    <t>Stock AOL</t>
  </si>
  <si>
    <t xml:space="preserve"> Inputs</t>
  </si>
  <si>
    <t>Simulation Date</t>
  </si>
  <si>
    <t>Scenario Set File Name:</t>
  </si>
  <si>
    <t>ScenarioSet</t>
  </si>
  <si>
    <t xml:space="preserve">AUD Discount Curve: </t>
  </si>
  <si>
    <t>equity price</t>
  </si>
  <si>
    <t>Histo VaR</t>
  </si>
  <si>
    <t>ES</t>
  </si>
  <si>
    <t>Time Horization (days)</t>
  </si>
  <si>
    <t>Session Date</t>
  </si>
  <si>
    <t>CI</t>
  </si>
  <si>
    <t>Spot FX</t>
  </si>
  <si>
    <t>p7</t>
  </si>
  <si>
    <r>
      <t xml:space="preserve">Given </t>
    </r>
    <r>
      <rPr>
        <sz val="14"/>
        <color rgb="FFFF0000"/>
        <rFont val="Calibri"/>
        <family val="2"/>
        <scheme val="minor"/>
      </rPr>
      <t>Session date</t>
    </r>
    <r>
      <rPr>
        <sz val="14"/>
        <color theme="1"/>
        <rFont val="Calibri"/>
        <family val="2"/>
        <scheme val="minor"/>
      </rPr>
      <t xml:space="preserve"> in A3, </t>
    </r>
    <r>
      <rPr>
        <sz val="14"/>
        <color rgb="FFFF0000"/>
        <rFont val="Calibri"/>
        <family val="2"/>
        <scheme val="minor"/>
      </rPr>
      <t>Time Horization</t>
    </r>
    <r>
      <rPr>
        <sz val="14"/>
        <color theme="1"/>
        <rFont val="Calibri"/>
        <family val="2"/>
        <scheme val="minor"/>
      </rPr>
      <t xml:space="preserve"> in B3. 
Given </t>
    </r>
    <r>
      <rPr>
        <sz val="14"/>
        <color rgb="FFFF0000"/>
        <rFont val="Calibri"/>
        <family val="2"/>
        <scheme val="minor"/>
      </rPr>
      <t>Trading portfolio</t>
    </r>
    <r>
      <rPr>
        <sz val="14"/>
        <color theme="1"/>
        <rFont val="Calibri"/>
        <family val="2"/>
        <scheme val="minor"/>
      </rPr>
      <t xml:space="preserve"> is selected from dropdownlist C3, </t>
    </r>
    <r>
      <rPr>
        <sz val="14"/>
        <color rgb="FFFF0000"/>
        <rFont val="Calibri"/>
        <family val="2"/>
        <scheme val="minor"/>
      </rPr>
      <t xml:space="preserve">Bond position attribute inputs </t>
    </r>
    <r>
      <rPr>
        <sz val="14"/>
        <color theme="1"/>
        <rFont val="Calibri"/>
        <family val="2"/>
        <scheme val="minor"/>
      </rPr>
      <t xml:space="preserve">in the Trading Portfolio is defined in the Bond file in D3, other positions in the Trading Portfolio can be found in the corresponding spread sheet. 
Given </t>
    </r>
    <r>
      <rPr>
        <sz val="14"/>
        <color rgb="FFFF0000"/>
        <rFont val="Calibri"/>
        <family val="2"/>
        <scheme val="minor"/>
      </rPr>
      <t>Historical Scenario Set</t>
    </r>
    <r>
      <rPr>
        <sz val="14"/>
        <color theme="1"/>
        <rFont val="Calibri"/>
        <family val="2"/>
        <scheme val="minor"/>
      </rPr>
      <t xml:space="preserve"> for the </t>
    </r>
    <r>
      <rPr>
        <u/>
        <sz val="14"/>
        <color theme="1"/>
        <rFont val="Calibri"/>
        <family val="2"/>
        <scheme val="minor"/>
      </rPr>
      <t>given time horizon</t>
    </r>
    <r>
      <rPr>
        <sz val="14"/>
        <color theme="1"/>
        <rFont val="Calibri"/>
        <family val="2"/>
        <scheme val="minor"/>
      </rPr>
      <t xml:space="preserve"> is in H3. </t>
    </r>
    <r>
      <rPr>
        <b/>
        <sz val="14"/>
        <color theme="1"/>
        <rFont val="Calibri"/>
        <family val="2"/>
        <scheme val="minor"/>
      </rPr>
      <t>Scenario set has fixed format: Risk factor symbols is in first row, second row contains Base Scenario. Scenarios for the estimation time horization start from row 3.</t>
    </r>
    <r>
      <rPr>
        <sz val="14"/>
        <color theme="1"/>
        <rFont val="Calibri"/>
        <family val="2"/>
        <scheme val="minor"/>
      </rPr>
      <t xml:space="preserve">
</t>
    </r>
    <r>
      <rPr>
        <sz val="14"/>
        <color rgb="FFFF0000"/>
        <rFont val="Calibri"/>
        <family val="2"/>
        <scheme val="minor"/>
      </rPr>
      <t xml:space="preserve">Confidence Interval </t>
    </r>
    <r>
      <rPr>
        <sz val="14"/>
        <color theme="1"/>
        <rFont val="Calibri"/>
        <family val="2"/>
        <scheme val="minor"/>
      </rPr>
      <t>(CI) is given in F3.
Please  write a Macro that</t>
    </r>
    <r>
      <rPr>
        <b/>
        <u/>
        <sz val="14"/>
        <color rgb="FFFF0000"/>
        <rFont val="Calibri"/>
        <family val="2"/>
        <scheme val="minor"/>
      </rPr>
      <t xml:space="preserve"> calculates the Historical VaR and Expected Short Fall (ES) of the Trading portfolio</t>
    </r>
    <r>
      <rPr>
        <sz val="14"/>
        <color theme="1"/>
        <rFont val="Calibri"/>
        <family val="2"/>
        <scheme val="minor"/>
      </rPr>
      <t xml:space="preserve">  for the</t>
    </r>
    <r>
      <rPr>
        <u/>
        <sz val="14"/>
        <color rgb="FFFF0000"/>
        <rFont val="Calibri"/>
        <family val="2"/>
        <scheme val="minor"/>
      </rPr>
      <t xml:space="preserve"> given time horization and confidence interval.</t>
    </r>
    <r>
      <rPr>
        <sz val="14"/>
        <color theme="1"/>
        <rFont val="Calibri"/>
        <family val="2"/>
        <scheme val="minor"/>
      </rPr>
      <t xml:space="preserve"> 
Link your Macro to the Click to Run  button, click the button will print the Historical VaR in cell: H3 and Expected Shortfall (ES) in I3 in this worksheet.
Note: pleaae make best use my VBA module given in bascore, basstdard and basadv. It for sure will save your time.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</si>
</sst>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* #,##0.00_-;\-&quot;$&quot;* #,##0.00_-;_-&quot;$&quot;* &quot;-&quot;??_-;_-@_-"/>
    <numFmt numFmtId="164" formatCode="#,##0.0000"/>
    <numFmt numFmtId="165" formatCode="yyyy/mm/dd;@"/>
    <numFmt numFmtId="166" formatCode="yyyy\-mm\-dd;@"/>
    <numFmt numFmtId="167" formatCode="[$-409]d\-mmm\-yy;@"/>
    <numFmt numFmtId="168" formatCode="0.00000000000000"/>
    <numFmt numFmtId="169" formatCode="0.0000000000000"/>
    <numFmt numFmtId="170" formatCode="0.000000"/>
    <numFmt numFmtId="171" formatCode="0.00000000000"/>
    <numFmt numFmtId="172" formatCode="0.00000000"/>
  </numFmts>
  <fonts count="5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0"/>
      <color theme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charset val="134"/>
    </font>
    <font>
      <sz val="11"/>
      <color rgb="FF00B050"/>
      <name val="Calibri"/>
      <family val="2"/>
      <scheme val="minor"/>
    </font>
    <font>
      <sz val="16"/>
      <name val="Arial"/>
      <family val="2"/>
    </font>
    <font>
      <sz val="18"/>
      <name val="Arial"/>
      <family val="2"/>
    </font>
    <font>
      <b/>
      <sz val="10"/>
      <color rgb="FF0070C0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00B0F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82">
    <xf numFmtId="0" fontId="0" fillId="0" borderId="0"/>
    <xf numFmtId="0" fontId="8" fillId="0" borderId="5" applyNumberFormat="0" applyFill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" fillId="0" borderId="0"/>
    <xf numFmtId="0" fontId="1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" fillId="0" borderId="0"/>
    <xf numFmtId="0" fontId="12" fillId="0" borderId="0"/>
    <xf numFmtId="0" fontId="12" fillId="0" borderId="0"/>
    <xf numFmtId="0" fontId="12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8" fillId="0" borderId="5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8" applyNumberFormat="0" applyAlignment="0" applyProtection="0"/>
    <xf numFmtId="0" fontId="23" fillId="8" borderId="9" applyNumberFormat="0" applyAlignment="0" applyProtection="0"/>
    <xf numFmtId="0" fontId="24" fillId="8" borderId="8" applyNumberFormat="0" applyAlignment="0" applyProtection="0"/>
    <xf numFmtId="0" fontId="25" fillId="0" borderId="10" applyNumberFormat="0" applyFill="0" applyAlignment="0" applyProtection="0"/>
    <xf numFmtId="0" fontId="26" fillId="9" borderId="11" applyNumberFormat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13" applyNumberFormat="0" applyFill="0" applyAlignment="0" applyProtection="0"/>
    <xf numFmtId="0" fontId="28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28" fillId="34" borderId="0" applyNumberFormat="0" applyBorder="0" applyAlignment="0" applyProtection="0"/>
    <xf numFmtId="0" fontId="14" fillId="0" borderId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12" fillId="10" borderId="12" applyNumberFormat="0" applyFont="0" applyAlignment="0" applyProtection="0"/>
    <xf numFmtId="0" fontId="12" fillId="10" borderId="12" applyNumberFormat="0" applyFont="0" applyAlignment="0" applyProtection="0"/>
    <xf numFmtId="0" fontId="12" fillId="10" borderId="12" applyNumberFormat="0" applyFont="0" applyAlignment="0" applyProtection="0"/>
    <xf numFmtId="0" fontId="12" fillId="10" borderId="12" applyNumberFormat="0" applyFont="0" applyAlignment="0" applyProtection="0"/>
    <xf numFmtId="0" fontId="12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6">
    <xf numFmtId="0" fontId="0" fillId="0" borderId="0" xfId="0"/>
    <xf numFmtId="0" fontId="1" fillId="0" borderId="1" xfId="3" applyBorder="1"/>
    <xf numFmtId="0" fontId="1" fillId="0" borderId="1" xfId="3" applyBorder="1" applyAlignment="1">
      <alignment horizontal="center"/>
    </xf>
    <xf numFmtId="164" fontId="1" fillId="2" borderId="1" xfId="3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1" fillId="0" borderId="1" xfId="3" quotePrefix="1" applyNumberFormat="1" applyBorder="1" applyAlignment="1">
      <alignment horizontal="center"/>
    </xf>
    <xf numFmtId="1" fontId="1" fillId="0" borderId="1" xfId="3" applyNumberFormat="1" applyBorder="1"/>
    <xf numFmtId="9" fontId="1" fillId="0" borderId="1" xfId="3" applyNumberFormat="1" applyBorder="1"/>
    <xf numFmtId="0" fontId="0" fillId="0" borderId="1" xfId="0" applyBorder="1"/>
    <xf numFmtId="0" fontId="1" fillId="0" borderId="1" xfId="3" quotePrefix="1" applyBorder="1" applyAlignment="1">
      <alignment horizontal="center"/>
    </xf>
    <xf numFmtId="0" fontId="10" fillId="0" borderId="1" xfId="3" applyFont="1" applyBorder="1" applyAlignment="1">
      <alignment horizontal="center"/>
    </xf>
    <xf numFmtId="10" fontId="1" fillId="0" borderId="1" xfId="3" applyNumberFormat="1" applyBorder="1" applyAlignment="1">
      <alignment horizontal="center"/>
    </xf>
    <xf numFmtId="0" fontId="10" fillId="0" borderId="1" xfId="3" quotePrefix="1" applyFont="1" applyBorder="1" applyAlignment="1">
      <alignment horizontal="center"/>
    </xf>
    <xf numFmtId="164" fontId="1" fillId="2" borderId="1" xfId="3" applyNumberFormat="1" applyFill="1" applyBorder="1" applyAlignment="1">
      <alignment horizontal="center" wrapText="1"/>
    </xf>
    <xf numFmtId="0" fontId="1" fillId="0" borderId="1" xfId="3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9" fillId="0" borderId="0" xfId="0" applyFont="1"/>
    <xf numFmtId="0" fontId="9" fillId="3" borderId="1" xfId="0" applyFont="1" applyFill="1" applyBorder="1"/>
    <xf numFmtId="0" fontId="9" fillId="0" borderId="1" xfId="0" applyFont="1" applyBorder="1"/>
    <xf numFmtId="0" fontId="1" fillId="0" borderId="0" xfId="4"/>
    <xf numFmtId="0" fontId="2" fillId="0" borderId="0" xfId="4" applyFont="1"/>
    <xf numFmtId="0" fontId="3" fillId="0" borderId="0" xfId="2" applyAlignment="1" applyProtection="1"/>
    <xf numFmtId="0" fontId="4" fillId="0" borderId="0" xfId="4" applyFont="1"/>
    <xf numFmtId="0" fontId="11" fillId="0" borderId="2" xfId="4" applyFont="1" applyBorder="1"/>
    <xf numFmtId="0" fontId="5" fillId="0" borderId="0" xfId="4" applyFont="1"/>
    <xf numFmtId="165" fontId="11" fillId="0" borderId="0" xfId="4" applyNumberFormat="1" applyFont="1" applyBorder="1"/>
    <xf numFmtId="166" fontId="1" fillId="0" borderId="1" xfId="3" applyNumberFormat="1" applyBorder="1" applyAlignment="1">
      <alignment horizontal="center"/>
    </xf>
    <xf numFmtId="166" fontId="11" fillId="0" borderId="3" xfId="4" applyNumberFormat="1" applyFont="1" applyBorder="1"/>
    <xf numFmtId="167" fontId="0" fillId="0" borderId="0" xfId="0" applyNumberFormat="1"/>
    <xf numFmtId="0" fontId="1" fillId="0" borderId="0" xfId="5"/>
    <xf numFmtId="0" fontId="1" fillId="0" borderId="0" xfId="5" applyBorder="1"/>
    <xf numFmtId="0" fontId="2" fillId="0" borderId="0" xfId="5" applyFont="1" applyAlignment="1">
      <alignment horizontal="right"/>
    </xf>
    <xf numFmtId="0" fontId="2" fillId="0" borderId="0" xfId="5" applyFont="1" applyBorder="1" applyAlignment="1">
      <alignment horizontal="center"/>
    </xf>
    <xf numFmtId="0" fontId="2" fillId="0" borderId="0" xfId="5" applyFont="1" applyFill="1" applyBorder="1" applyAlignment="1">
      <alignment horizontal="center"/>
    </xf>
    <xf numFmtId="0" fontId="1" fillId="0" borderId="0" xfId="5" applyBorder="1" applyAlignment="1">
      <alignment horizontal="center"/>
    </xf>
    <xf numFmtId="0" fontId="6" fillId="0" borderId="0" xfId="5" applyFont="1" applyAlignment="1"/>
    <xf numFmtId="0" fontId="0" fillId="0" borderId="0" xfId="0"/>
    <xf numFmtId="0" fontId="9" fillId="0" borderId="1" xfId="0" applyFont="1" applyBorder="1" applyAlignment="1">
      <alignment horizontal="center"/>
    </xf>
    <xf numFmtId="0" fontId="0" fillId="0" borderId="0" xfId="0" applyBorder="1"/>
    <xf numFmtId="14" fontId="13" fillId="0" borderId="1" xfId="0" applyNumberFormat="1" applyFont="1" applyBorder="1"/>
    <xf numFmtId="0" fontId="3" fillId="0" borderId="1" xfId="2" applyBorder="1" applyAlignment="1" applyProtection="1"/>
    <xf numFmtId="0" fontId="12" fillId="35" borderId="1" xfId="10" applyFill="1" applyBorder="1"/>
    <xf numFmtId="0" fontId="14" fillId="0" borderId="14" xfId="1073" applyBorder="1">
      <alignment vertical="center"/>
    </xf>
    <xf numFmtId="0" fontId="12" fillId="3" borderId="1" xfId="10" applyFill="1" applyBorder="1"/>
    <xf numFmtId="0" fontId="30" fillId="0" borderId="1" xfId="10" applyFont="1" applyBorder="1"/>
    <xf numFmtId="0" fontId="12" fillId="0" borderId="1" xfId="10" applyFont="1" applyBorder="1"/>
    <xf numFmtId="0" fontId="12" fillId="0" borderId="1" xfId="10" applyBorder="1"/>
    <xf numFmtId="0" fontId="14" fillId="0" borderId="0" xfId="1073">
      <alignment vertical="center"/>
    </xf>
    <xf numFmtId="0" fontId="1" fillId="0" borderId="17" xfId="3" applyBorder="1"/>
    <xf numFmtId="168" fontId="1" fillId="0" borderId="1" xfId="3" applyNumberFormat="1" applyBorder="1"/>
    <xf numFmtId="0" fontId="3" fillId="0" borderId="16" xfId="2" applyBorder="1" applyAlignment="1" applyProtection="1">
      <alignment horizontal="right"/>
    </xf>
    <xf numFmtId="0" fontId="2" fillId="36" borderId="17" xfId="3" applyFont="1" applyFill="1" applyBorder="1"/>
    <xf numFmtId="0" fontId="1" fillId="0" borderId="0" xfId="3"/>
    <xf numFmtId="0" fontId="1" fillId="0" borderId="1" xfId="3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169" fontId="1" fillId="0" borderId="1" xfId="3" applyNumberFormat="1" applyBorder="1" applyAlignment="1">
      <alignment horizontal="right"/>
    </xf>
    <xf numFmtId="0" fontId="3" fillId="0" borderId="0" xfId="2" applyAlignment="1" applyProtection="1">
      <alignment horizontal="right"/>
    </xf>
    <xf numFmtId="0" fontId="2" fillId="36" borderId="1" xfId="3" applyFont="1" applyFill="1" applyBorder="1"/>
    <xf numFmtId="0" fontId="2" fillId="36" borderId="15" xfId="3" applyFont="1" applyFill="1" applyBorder="1"/>
    <xf numFmtId="0" fontId="10" fillId="0" borderId="1" xfId="3" applyFont="1" applyBorder="1" applyAlignment="1">
      <alignment horizontal="right"/>
    </xf>
    <xf numFmtId="169" fontId="1" fillId="0" borderId="1" xfId="3" applyNumberFormat="1" applyBorder="1" applyAlignment="1">
      <alignment horizontal="right"/>
    </xf>
    <xf numFmtId="0" fontId="2" fillId="36" borderId="1" xfId="3" applyFont="1" applyFill="1" applyBorder="1"/>
    <xf numFmtId="0" fontId="10" fillId="0" borderId="1" xfId="3" applyFont="1" applyBorder="1" applyAlignment="1">
      <alignment horizontal="right"/>
    </xf>
    <xf numFmtId="0" fontId="33" fillId="36" borderId="1" xfId="3" applyFont="1" applyFill="1" applyBorder="1" applyAlignment="1">
      <alignment horizontal="right"/>
    </xf>
    <xf numFmtId="0" fontId="33" fillId="36" borderId="1" xfId="3" applyFont="1" applyFill="1" applyBorder="1"/>
    <xf numFmtId="0" fontId="33" fillId="36" borderId="20" xfId="3" applyFont="1" applyFill="1" applyBorder="1"/>
    <xf numFmtId="0" fontId="1" fillId="36" borderId="0" xfId="3" applyFill="1"/>
    <xf numFmtId="0" fontId="1" fillId="36" borderId="0" xfId="3" applyFill="1" applyAlignment="1">
      <alignment wrapText="1"/>
    </xf>
    <xf numFmtId="0" fontId="33" fillId="36" borderId="1" xfId="3" applyFont="1" applyFill="1" applyBorder="1" applyAlignment="1">
      <alignment horizontal="center"/>
    </xf>
    <xf numFmtId="0" fontId="1" fillId="0" borderId="0" xfId="3"/>
    <xf numFmtId="0" fontId="1" fillId="0" borderId="1" xfId="3" applyBorder="1"/>
    <xf numFmtId="0" fontId="2" fillId="0" borderId="1" xfId="3" applyFont="1" applyBorder="1"/>
    <xf numFmtId="0" fontId="1" fillId="0" borderId="1" xfId="3" applyBorder="1" applyAlignment="1">
      <alignment horizontal="right"/>
    </xf>
    <xf numFmtId="0" fontId="3" fillId="0" borderId="20" xfId="2" applyBorder="1" applyAlignment="1" applyProtection="1">
      <alignment horizontal="right"/>
    </xf>
    <xf numFmtId="0" fontId="1" fillId="0" borderId="1" xfId="3" applyFill="1" applyBorder="1" applyAlignment="1">
      <alignment horizontal="right"/>
    </xf>
    <xf numFmtId="0" fontId="1" fillId="0" borderId="0" xfId="3"/>
    <xf numFmtId="0" fontId="1" fillId="0" borderId="0" xfId="3" applyBorder="1"/>
    <xf numFmtId="0" fontId="2" fillId="0" borderId="1" xfId="3" applyFont="1" applyBorder="1"/>
    <xf numFmtId="0" fontId="2" fillId="0" borderId="1" xfId="3" applyFont="1" applyFill="1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0" fontId="1" fillId="0" borderId="0" xfId="3" applyBorder="1" applyAlignment="1">
      <alignment horizontal="right"/>
    </xf>
    <xf numFmtId="0" fontId="0" fillId="35" borderId="1" xfId="10" applyFont="1" applyFill="1" applyBorder="1"/>
    <xf numFmtId="0" fontId="34" fillId="0" borderId="0" xfId="4" applyFont="1"/>
    <xf numFmtId="14" fontId="0" fillId="0" borderId="1" xfId="0" applyNumberFormat="1" applyBorder="1"/>
    <xf numFmtId="0" fontId="1" fillId="0" borderId="1" xfId="3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1" xfId="3" applyFill="1" applyBorder="1" applyAlignment="1">
      <alignment horizontal="center" vertical="center" wrapText="1"/>
    </xf>
    <xf numFmtId="0" fontId="1" fillId="0" borderId="1" xfId="3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1" fillId="0" borderId="0" xfId="13"/>
    <xf numFmtId="0" fontId="3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0" xfId="0" applyNumberFormat="1" applyFont="1"/>
    <xf numFmtId="0" fontId="9" fillId="0" borderId="0" xfId="0" applyFont="1" applyFill="1" applyBorder="1"/>
    <xf numFmtId="0" fontId="1" fillId="0" borderId="0" xfId="4" applyAlignment="1">
      <alignment horizontal="left" vertical="top"/>
    </xf>
    <xf numFmtId="0" fontId="39" fillId="0" borderId="0" xfId="4" applyFont="1" applyAlignment="1">
      <alignment horizontal="left" vertical="top"/>
    </xf>
    <xf numFmtId="0" fontId="6" fillId="0" borderId="0" xfId="0" applyFont="1"/>
    <xf numFmtId="0" fontId="4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/>
    <xf numFmtId="170" fontId="0" fillId="0" borderId="1" xfId="0" applyNumberFormat="1" applyBorder="1"/>
    <xf numFmtId="0" fontId="2" fillId="0" borderId="0" xfId="0" applyFont="1"/>
    <xf numFmtId="0" fontId="1" fillId="0" borderId="22" xfId="3" applyBorder="1"/>
    <xf numFmtId="0" fontId="1" fillId="0" borderId="23" xfId="3" applyBorder="1"/>
    <xf numFmtId="0" fontId="1" fillId="0" borderId="24" xfId="3" applyBorder="1"/>
    <xf numFmtId="0" fontId="1" fillId="0" borderId="15" xfId="3" applyBorder="1"/>
    <xf numFmtId="0" fontId="1" fillId="0" borderId="16" xfId="3" applyBorder="1"/>
    <xf numFmtId="0" fontId="1" fillId="0" borderId="14" xfId="3" applyBorder="1"/>
    <xf numFmtId="0" fontId="3" fillId="0" borderId="16" xfId="2" applyBorder="1" applyAlignment="1" applyProtection="1"/>
    <xf numFmtId="0" fontId="1" fillId="0" borderId="25" xfId="3" applyBorder="1"/>
    <xf numFmtId="14" fontId="1" fillId="0" borderId="14" xfId="3" applyNumberFormat="1" applyBorder="1"/>
    <xf numFmtId="0" fontId="1" fillId="0" borderId="26" xfId="3" applyBorder="1"/>
    <xf numFmtId="0" fontId="2" fillId="0" borderId="24" xfId="3" applyFont="1" applyBorder="1"/>
    <xf numFmtId="0" fontId="2" fillId="0" borderId="0" xfId="3" applyFont="1"/>
    <xf numFmtId="171" fontId="1" fillId="0" borderId="0" xfId="3" applyNumberFormat="1"/>
    <xf numFmtId="3" fontId="1" fillId="0" borderId="1" xfId="3" applyNumberFormat="1" applyBorder="1"/>
    <xf numFmtId="0" fontId="0" fillId="0" borderId="1" xfId="0" applyBorder="1" applyAlignment="1">
      <alignment horizontal="right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0" xfId="0" applyNumberFormat="1"/>
    <xf numFmtId="0" fontId="45" fillId="0" borderId="0" xfId="0" applyFont="1"/>
    <xf numFmtId="0" fontId="0" fillId="3" borderId="0" xfId="0" applyFill="1"/>
    <xf numFmtId="0" fontId="41" fillId="0" borderId="1" xfId="0" applyFont="1" applyFill="1" applyBorder="1" applyAlignment="1">
      <alignment horizontal="center"/>
    </xf>
    <xf numFmtId="172" fontId="46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72" fontId="0" fillId="0" borderId="0" xfId="0" applyNumberFormat="1" applyFill="1" applyBorder="1"/>
    <xf numFmtId="0" fontId="47" fillId="0" borderId="1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/>
    </xf>
    <xf numFmtId="0" fontId="41" fillId="37" borderId="23" xfId="0" applyFont="1" applyFill="1" applyBorder="1" applyAlignment="1">
      <alignment horizontal="center"/>
    </xf>
    <xf numFmtId="0" fontId="41" fillId="37" borderId="30" xfId="0" applyFont="1" applyFill="1" applyBorder="1" applyAlignment="1">
      <alignment horizontal="center"/>
    </xf>
    <xf numFmtId="0" fontId="41" fillId="37" borderId="31" xfId="0" applyFont="1" applyFill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8" fillId="38" borderId="14" xfId="0" applyFont="1" applyFill="1" applyBorder="1" applyAlignment="1">
      <alignment horizontal="center"/>
    </xf>
    <xf numFmtId="165" fontId="48" fillId="38" borderId="1" xfId="0" applyNumberFormat="1" applyFont="1" applyFill="1" applyBorder="1" applyAlignment="1">
      <alignment horizontal="center"/>
    </xf>
    <xf numFmtId="1" fontId="48" fillId="38" borderId="33" xfId="0" applyNumberFormat="1" applyFont="1" applyFill="1" applyBorder="1" applyAlignment="1">
      <alignment horizontal="center"/>
    </xf>
    <xf numFmtId="49" fontId="48" fillId="38" borderId="14" xfId="0" applyNumberFormat="1" applyFont="1" applyFill="1" applyBorder="1" applyAlignment="1">
      <alignment horizontal="center"/>
    </xf>
    <xf numFmtId="0" fontId="46" fillId="3" borderId="14" xfId="0" applyFont="1" applyFill="1" applyBorder="1" applyAlignment="1">
      <alignment horizontal="center"/>
    </xf>
    <xf numFmtId="0" fontId="46" fillId="3" borderId="26" xfId="0" applyFont="1" applyFill="1" applyBorder="1" applyAlignment="1">
      <alignment horizontal="center"/>
    </xf>
    <xf numFmtId="0" fontId="35" fillId="0" borderId="28" xfId="0" applyFont="1" applyBorder="1" applyAlignment="1">
      <alignment horizontal="left" vertical="top" wrapText="1"/>
    </xf>
    <xf numFmtId="0" fontId="35" fillId="0" borderId="29" xfId="0" applyFont="1" applyBorder="1" applyAlignment="1">
      <alignment horizontal="left" vertical="top" wrapText="1"/>
    </xf>
    <xf numFmtId="0" fontId="35" fillId="0" borderId="27" xfId="0" applyFont="1" applyBorder="1" applyAlignment="1">
      <alignment horizontal="left" vertical="top" wrapText="1"/>
    </xf>
    <xf numFmtId="0" fontId="32" fillId="0" borderId="18" xfId="3" applyFont="1" applyBorder="1" applyAlignment="1">
      <alignment horizontal="center"/>
    </xf>
    <xf numFmtId="0" fontId="32" fillId="0" borderId="19" xfId="3" applyFont="1" applyBorder="1" applyAlignment="1">
      <alignment horizontal="center"/>
    </xf>
    <xf numFmtId="0" fontId="32" fillId="0" borderId="1" xfId="3" applyFont="1" applyBorder="1" applyAlignment="1">
      <alignment horizontal="center"/>
    </xf>
    <xf numFmtId="0" fontId="31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6" fillId="0" borderId="21" xfId="3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1082">
    <cellStyle name="20% - Accent1" xfId="1050" builtinId="30" customBuiltin="1"/>
    <cellStyle name="20% - Accent2" xfId="1054" builtinId="34" customBuiltin="1"/>
    <cellStyle name="20% - Accent3" xfId="1058" builtinId="38" customBuiltin="1"/>
    <cellStyle name="20% - Accent4" xfId="1062" builtinId="42" customBuiltin="1"/>
    <cellStyle name="20% - Accent5" xfId="1066" builtinId="46" customBuiltin="1"/>
    <cellStyle name="20% - Accent6" xfId="1070" builtinId="50" customBuiltin="1"/>
    <cellStyle name="40% - Accent1" xfId="1051" builtinId="31" customBuiltin="1"/>
    <cellStyle name="40% - Accent2" xfId="1055" builtinId="35" customBuiltin="1"/>
    <cellStyle name="40% - Accent3" xfId="1059" builtinId="39" customBuiltin="1"/>
    <cellStyle name="40% - Accent4" xfId="1063" builtinId="43" customBuiltin="1"/>
    <cellStyle name="40% - Accent5" xfId="1067" builtinId="47" customBuiltin="1"/>
    <cellStyle name="40% - Accent6" xfId="1071" builtinId="51" customBuiltin="1"/>
    <cellStyle name="60% - Accent1" xfId="1052" builtinId="32" customBuiltin="1"/>
    <cellStyle name="60% - Accent2" xfId="1056" builtinId="36" customBuiltin="1"/>
    <cellStyle name="60% - Accent3" xfId="1060" builtinId="40" customBuiltin="1"/>
    <cellStyle name="60% - Accent4" xfId="1064" builtinId="44" customBuiltin="1"/>
    <cellStyle name="60% - Accent5" xfId="1068" builtinId="48" customBuiltin="1"/>
    <cellStyle name="60% - Accent6" xfId="1072" builtinId="52" customBuiltin="1"/>
    <cellStyle name="Accent1" xfId="1049" builtinId="29" customBuiltin="1"/>
    <cellStyle name="Accent2" xfId="1053" builtinId="33" customBuiltin="1"/>
    <cellStyle name="Accent3" xfId="1057" builtinId="37" customBuiltin="1"/>
    <cellStyle name="Accent4" xfId="1061" builtinId="41" customBuiltin="1"/>
    <cellStyle name="Accent5" xfId="1065" builtinId="45" customBuiltin="1"/>
    <cellStyle name="Accent6" xfId="1069" builtinId="49" customBuiltin="1"/>
    <cellStyle name="Bad" xfId="1039" builtinId="27" customBuiltin="1"/>
    <cellStyle name="Calculation" xfId="1043" builtinId="22" customBuiltin="1"/>
    <cellStyle name="Check Cell" xfId="1045" builtinId="23" customBuiltin="1"/>
    <cellStyle name="Currency 2" xfId="6" xr:uid="{00000000-0005-0000-0000-00001B000000}"/>
    <cellStyle name="Explanatory Text" xfId="1047" builtinId="53" customBuiltin="1"/>
    <cellStyle name="Followed Hyperlink 2" xfId="14" hidden="1" xr:uid="{00000000-0005-0000-0000-00001D000000}"/>
    <cellStyle name="Followed Hyperlink 2" xfId="15" hidden="1" xr:uid="{00000000-0005-0000-0000-00001E000000}"/>
    <cellStyle name="Followed Hyperlink 2" xfId="16" hidden="1" xr:uid="{00000000-0005-0000-0000-00001F000000}"/>
    <cellStyle name="Followed Hyperlink 2" xfId="17" hidden="1" xr:uid="{00000000-0005-0000-0000-000020000000}"/>
    <cellStyle name="Followed Hyperlink 2" xfId="18" hidden="1" xr:uid="{00000000-0005-0000-0000-000021000000}"/>
    <cellStyle name="Followed Hyperlink 2" xfId="19" hidden="1" xr:uid="{00000000-0005-0000-0000-000022000000}"/>
    <cellStyle name="Followed Hyperlink 2" xfId="20" hidden="1" xr:uid="{00000000-0005-0000-0000-000023000000}"/>
    <cellStyle name="Followed Hyperlink 2" xfId="21" hidden="1" xr:uid="{00000000-0005-0000-0000-000024000000}"/>
    <cellStyle name="Followed Hyperlink 2" xfId="22" hidden="1" xr:uid="{00000000-0005-0000-0000-000025000000}"/>
    <cellStyle name="Followed Hyperlink 2" xfId="23" hidden="1" xr:uid="{00000000-0005-0000-0000-000026000000}"/>
    <cellStyle name="Followed Hyperlink 2" xfId="24" hidden="1" xr:uid="{00000000-0005-0000-0000-000027000000}"/>
    <cellStyle name="Followed Hyperlink 2" xfId="25" hidden="1" xr:uid="{00000000-0005-0000-0000-000028000000}"/>
    <cellStyle name="Followed Hyperlink 2" xfId="26" hidden="1" xr:uid="{00000000-0005-0000-0000-000029000000}"/>
    <cellStyle name="Followed Hyperlink 2" xfId="27" hidden="1" xr:uid="{00000000-0005-0000-0000-00002A000000}"/>
    <cellStyle name="Followed Hyperlink 2" xfId="28" hidden="1" xr:uid="{00000000-0005-0000-0000-00002B000000}"/>
    <cellStyle name="Followed Hyperlink 2" xfId="29" hidden="1" xr:uid="{00000000-0005-0000-0000-00002C000000}"/>
    <cellStyle name="Followed Hyperlink 2" xfId="30" hidden="1" xr:uid="{00000000-0005-0000-0000-00002D000000}"/>
    <cellStyle name="Followed Hyperlink 2" xfId="31" hidden="1" xr:uid="{00000000-0005-0000-0000-00002E000000}"/>
    <cellStyle name="Followed Hyperlink 2" xfId="32" hidden="1" xr:uid="{00000000-0005-0000-0000-00002F000000}"/>
    <cellStyle name="Followed Hyperlink 2" xfId="33" hidden="1" xr:uid="{00000000-0005-0000-0000-000030000000}"/>
    <cellStyle name="Followed Hyperlink 2" xfId="34" hidden="1" xr:uid="{00000000-0005-0000-0000-000031000000}"/>
    <cellStyle name="Followed Hyperlink 2" xfId="35" hidden="1" xr:uid="{00000000-0005-0000-0000-000032000000}"/>
    <cellStyle name="Followed Hyperlink 2" xfId="36" hidden="1" xr:uid="{00000000-0005-0000-0000-000033000000}"/>
    <cellStyle name="Followed Hyperlink 2" xfId="37" hidden="1" xr:uid="{00000000-0005-0000-0000-000034000000}"/>
    <cellStyle name="Followed Hyperlink 2" xfId="38" hidden="1" xr:uid="{00000000-0005-0000-0000-000035000000}"/>
    <cellStyle name="Followed Hyperlink 2" xfId="39" hidden="1" xr:uid="{00000000-0005-0000-0000-000036000000}"/>
    <cellStyle name="Followed Hyperlink 2" xfId="40" hidden="1" xr:uid="{00000000-0005-0000-0000-000037000000}"/>
    <cellStyle name="Followed Hyperlink 2" xfId="41" hidden="1" xr:uid="{00000000-0005-0000-0000-000038000000}"/>
    <cellStyle name="Followed Hyperlink 2" xfId="42" hidden="1" xr:uid="{00000000-0005-0000-0000-000039000000}"/>
    <cellStyle name="Followed Hyperlink 2" xfId="43" hidden="1" xr:uid="{00000000-0005-0000-0000-00003A000000}"/>
    <cellStyle name="Followed Hyperlink 2" xfId="44" hidden="1" xr:uid="{00000000-0005-0000-0000-00003B000000}"/>
    <cellStyle name="Followed Hyperlink 2" xfId="45" hidden="1" xr:uid="{00000000-0005-0000-0000-00003C000000}"/>
    <cellStyle name="Followed Hyperlink 2" xfId="46" hidden="1" xr:uid="{00000000-0005-0000-0000-00003D000000}"/>
    <cellStyle name="Followed Hyperlink 2" xfId="47" hidden="1" xr:uid="{00000000-0005-0000-0000-00003E000000}"/>
    <cellStyle name="Followed Hyperlink 2" xfId="48" hidden="1" xr:uid="{00000000-0005-0000-0000-00003F000000}"/>
    <cellStyle name="Followed Hyperlink 2" xfId="49" hidden="1" xr:uid="{00000000-0005-0000-0000-000040000000}"/>
    <cellStyle name="Followed Hyperlink 2" xfId="50" hidden="1" xr:uid="{00000000-0005-0000-0000-000041000000}"/>
    <cellStyle name="Followed Hyperlink 2" xfId="51" hidden="1" xr:uid="{00000000-0005-0000-0000-000042000000}"/>
    <cellStyle name="Followed Hyperlink 2" xfId="52" hidden="1" xr:uid="{00000000-0005-0000-0000-000043000000}"/>
    <cellStyle name="Followed Hyperlink 2" xfId="53" hidden="1" xr:uid="{00000000-0005-0000-0000-000044000000}"/>
    <cellStyle name="Followed Hyperlink 2" xfId="54" hidden="1" xr:uid="{00000000-0005-0000-0000-000045000000}"/>
    <cellStyle name="Followed Hyperlink 2" xfId="55" hidden="1" xr:uid="{00000000-0005-0000-0000-000046000000}"/>
    <cellStyle name="Followed Hyperlink 2" xfId="56" hidden="1" xr:uid="{00000000-0005-0000-0000-000047000000}"/>
    <cellStyle name="Followed Hyperlink 2" xfId="57" hidden="1" xr:uid="{00000000-0005-0000-0000-000048000000}"/>
    <cellStyle name="Followed Hyperlink 2" xfId="58" hidden="1" xr:uid="{00000000-0005-0000-0000-000049000000}"/>
    <cellStyle name="Followed Hyperlink 2" xfId="59" hidden="1" xr:uid="{00000000-0005-0000-0000-00004A000000}"/>
    <cellStyle name="Followed Hyperlink 2" xfId="60" hidden="1" xr:uid="{00000000-0005-0000-0000-00004B000000}"/>
    <cellStyle name="Followed Hyperlink 2" xfId="61" hidden="1" xr:uid="{00000000-0005-0000-0000-00004C000000}"/>
    <cellStyle name="Followed Hyperlink 2" xfId="62" hidden="1" xr:uid="{00000000-0005-0000-0000-00004D000000}"/>
    <cellStyle name="Followed Hyperlink 2" xfId="63" hidden="1" xr:uid="{00000000-0005-0000-0000-00004E000000}"/>
    <cellStyle name="Followed Hyperlink 2" xfId="64" hidden="1" xr:uid="{00000000-0005-0000-0000-00004F000000}"/>
    <cellStyle name="Followed Hyperlink 2" xfId="65" hidden="1" xr:uid="{00000000-0005-0000-0000-000050000000}"/>
    <cellStyle name="Followed Hyperlink 2" xfId="66" hidden="1" xr:uid="{00000000-0005-0000-0000-000051000000}"/>
    <cellStyle name="Followed Hyperlink 2" xfId="67" hidden="1" xr:uid="{00000000-0005-0000-0000-000052000000}"/>
    <cellStyle name="Followed Hyperlink 2" xfId="68" hidden="1" xr:uid="{00000000-0005-0000-0000-000053000000}"/>
    <cellStyle name="Followed Hyperlink 2" xfId="69" hidden="1" xr:uid="{00000000-0005-0000-0000-000054000000}"/>
    <cellStyle name="Followed Hyperlink 2" xfId="70" hidden="1" xr:uid="{00000000-0005-0000-0000-000055000000}"/>
    <cellStyle name="Followed Hyperlink 2" xfId="71" hidden="1" xr:uid="{00000000-0005-0000-0000-000056000000}"/>
    <cellStyle name="Followed Hyperlink 2" xfId="72" hidden="1" xr:uid="{00000000-0005-0000-0000-000057000000}"/>
    <cellStyle name="Followed Hyperlink 2" xfId="73" hidden="1" xr:uid="{00000000-0005-0000-0000-000058000000}"/>
    <cellStyle name="Followed Hyperlink 2" xfId="74" hidden="1" xr:uid="{00000000-0005-0000-0000-000059000000}"/>
    <cellStyle name="Followed Hyperlink 2" xfId="75" hidden="1" xr:uid="{00000000-0005-0000-0000-00005A000000}"/>
    <cellStyle name="Followed Hyperlink 2" xfId="76" hidden="1" xr:uid="{00000000-0005-0000-0000-00005B000000}"/>
    <cellStyle name="Followed Hyperlink 2" xfId="77" hidden="1" xr:uid="{00000000-0005-0000-0000-00005C000000}"/>
    <cellStyle name="Followed Hyperlink 2" xfId="78" hidden="1" xr:uid="{00000000-0005-0000-0000-00005D000000}"/>
    <cellStyle name="Followed Hyperlink 2" xfId="79" hidden="1" xr:uid="{00000000-0005-0000-0000-00005E000000}"/>
    <cellStyle name="Followed Hyperlink 2" xfId="80" hidden="1" xr:uid="{00000000-0005-0000-0000-00005F000000}"/>
    <cellStyle name="Followed Hyperlink 2" xfId="81" hidden="1" xr:uid="{00000000-0005-0000-0000-000060000000}"/>
    <cellStyle name="Followed Hyperlink 2" xfId="82" hidden="1" xr:uid="{00000000-0005-0000-0000-000061000000}"/>
    <cellStyle name="Followed Hyperlink 2" xfId="83" hidden="1" xr:uid="{00000000-0005-0000-0000-000062000000}"/>
    <cellStyle name="Followed Hyperlink 2" xfId="84" hidden="1" xr:uid="{00000000-0005-0000-0000-000063000000}"/>
    <cellStyle name="Followed Hyperlink 2" xfId="85" hidden="1" xr:uid="{00000000-0005-0000-0000-000064000000}"/>
    <cellStyle name="Followed Hyperlink 2" xfId="86" hidden="1" xr:uid="{00000000-0005-0000-0000-000065000000}"/>
    <cellStyle name="Followed Hyperlink 2" xfId="87" hidden="1" xr:uid="{00000000-0005-0000-0000-000066000000}"/>
    <cellStyle name="Followed Hyperlink 2" xfId="88" hidden="1" xr:uid="{00000000-0005-0000-0000-000067000000}"/>
    <cellStyle name="Followed Hyperlink 2" xfId="89" hidden="1" xr:uid="{00000000-0005-0000-0000-000068000000}"/>
    <cellStyle name="Followed Hyperlink 2" xfId="90" hidden="1" xr:uid="{00000000-0005-0000-0000-000069000000}"/>
    <cellStyle name="Followed Hyperlink 2" xfId="91" hidden="1" xr:uid="{00000000-0005-0000-0000-00006A000000}"/>
    <cellStyle name="Followed Hyperlink 2" xfId="92" hidden="1" xr:uid="{00000000-0005-0000-0000-00006B000000}"/>
    <cellStyle name="Followed Hyperlink 2" xfId="93" hidden="1" xr:uid="{00000000-0005-0000-0000-00006C000000}"/>
    <cellStyle name="Followed Hyperlink 2" xfId="94" hidden="1" xr:uid="{00000000-0005-0000-0000-00006D000000}"/>
    <cellStyle name="Followed Hyperlink 2" xfId="95" hidden="1" xr:uid="{00000000-0005-0000-0000-00006E000000}"/>
    <cellStyle name="Followed Hyperlink 2" xfId="96" hidden="1" xr:uid="{00000000-0005-0000-0000-00006F000000}"/>
    <cellStyle name="Followed Hyperlink 2" xfId="97" hidden="1" xr:uid="{00000000-0005-0000-0000-000070000000}"/>
    <cellStyle name="Followed Hyperlink 2" xfId="100" hidden="1" xr:uid="{00000000-0005-0000-0000-000071000000}"/>
    <cellStyle name="Followed Hyperlink 2" xfId="101" hidden="1" xr:uid="{00000000-0005-0000-0000-000072000000}"/>
    <cellStyle name="Followed Hyperlink 2" xfId="102" hidden="1" xr:uid="{00000000-0005-0000-0000-000073000000}"/>
    <cellStyle name="Followed Hyperlink 2" xfId="103" hidden="1" xr:uid="{00000000-0005-0000-0000-000074000000}"/>
    <cellStyle name="Followed Hyperlink 2" xfId="104" hidden="1" xr:uid="{00000000-0005-0000-0000-000075000000}"/>
    <cellStyle name="Followed Hyperlink 2" xfId="105" hidden="1" xr:uid="{00000000-0005-0000-0000-000076000000}"/>
    <cellStyle name="Followed Hyperlink 2" xfId="106" hidden="1" xr:uid="{00000000-0005-0000-0000-000077000000}"/>
    <cellStyle name="Followed Hyperlink 2" xfId="107" hidden="1" xr:uid="{00000000-0005-0000-0000-000078000000}"/>
    <cellStyle name="Followed Hyperlink 2" xfId="108" hidden="1" xr:uid="{00000000-0005-0000-0000-000079000000}"/>
    <cellStyle name="Followed Hyperlink 2" xfId="109" hidden="1" xr:uid="{00000000-0005-0000-0000-00007A000000}"/>
    <cellStyle name="Followed Hyperlink 2" xfId="110" hidden="1" xr:uid="{00000000-0005-0000-0000-00007B000000}"/>
    <cellStyle name="Followed Hyperlink 2" xfId="111" hidden="1" xr:uid="{00000000-0005-0000-0000-00007C000000}"/>
    <cellStyle name="Followed Hyperlink 2" xfId="112" hidden="1" xr:uid="{00000000-0005-0000-0000-00007D000000}"/>
    <cellStyle name="Followed Hyperlink 2" xfId="113" hidden="1" xr:uid="{00000000-0005-0000-0000-00007E000000}"/>
    <cellStyle name="Followed Hyperlink 2" xfId="114" hidden="1" xr:uid="{00000000-0005-0000-0000-00007F000000}"/>
    <cellStyle name="Followed Hyperlink 2" xfId="115" hidden="1" xr:uid="{00000000-0005-0000-0000-000080000000}"/>
    <cellStyle name="Followed Hyperlink 2" xfId="116" hidden="1" xr:uid="{00000000-0005-0000-0000-000081000000}"/>
    <cellStyle name="Followed Hyperlink 2" xfId="117" hidden="1" xr:uid="{00000000-0005-0000-0000-000082000000}"/>
    <cellStyle name="Followed Hyperlink 2" xfId="118" hidden="1" xr:uid="{00000000-0005-0000-0000-000083000000}"/>
    <cellStyle name="Followed Hyperlink 2" xfId="119" hidden="1" xr:uid="{00000000-0005-0000-0000-000084000000}"/>
    <cellStyle name="Followed Hyperlink 2" xfId="120" hidden="1" xr:uid="{00000000-0005-0000-0000-000085000000}"/>
    <cellStyle name="Followed Hyperlink 2" xfId="121" hidden="1" xr:uid="{00000000-0005-0000-0000-000086000000}"/>
    <cellStyle name="Followed Hyperlink 2" xfId="122" hidden="1" xr:uid="{00000000-0005-0000-0000-000087000000}"/>
    <cellStyle name="Followed Hyperlink 2" xfId="123" hidden="1" xr:uid="{00000000-0005-0000-0000-000088000000}"/>
    <cellStyle name="Followed Hyperlink 2" xfId="124" hidden="1" xr:uid="{00000000-0005-0000-0000-000089000000}"/>
    <cellStyle name="Followed Hyperlink 2" xfId="125" hidden="1" xr:uid="{00000000-0005-0000-0000-00008A000000}"/>
    <cellStyle name="Followed Hyperlink 2" xfId="126" hidden="1" xr:uid="{00000000-0005-0000-0000-00008B000000}"/>
    <cellStyle name="Followed Hyperlink 2" xfId="127" hidden="1" xr:uid="{00000000-0005-0000-0000-00008C000000}"/>
    <cellStyle name="Followed Hyperlink 2" xfId="128" hidden="1" xr:uid="{00000000-0005-0000-0000-00008D000000}"/>
    <cellStyle name="Followed Hyperlink 2" xfId="129" hidden="1" xr:uid="{00000000-0005-0000-0000-00008E000000}"/>
    <cellStyle name="Followed Hyperlink 2" xfId="130" hidden="1" xr:uid="{00000000-0005-0000-0000-00008F000000}"/>
    <cellStyle name="Followed Hyperlink 2" xfId="131" hidden="1" xr:uid="{00000000-0005-0000-0000-000090000000}"/>
    <cellStyle name="Followed Hyperlink 2" xfId="132" hidden="1" xr:uid="{00000000-0005-0000-0000-000091000000}"/>
    <cellStyle name="Followed Hyperlink 2" xfId="133" hidden="1" xr:uid="{00000000-0005-0000-0000-000092000000}"/>
    <cellStyle name="Followed Hyperlink 2" xfId="134" hidden="1" xr:uid="{00000000-0005-0000-0000-000093000000}"/>
    <cellStyle name="Followed Hyperlink 2" xfId="135" hidden="1" xr:uid="{00000000-0005-0000-0000-000094000000}"/>
    <cellStyle name="Followed Hyperlink 2" xfId="136" hidden="1" xr:uid="{00000000-0005-0000-0000-000095000000}"/>
    <cellStyle name="Followed Hyperlink 2" xfId="137" hidden="1" xr:uid="{00000000-0005-0000-0000-000096000000}"/>
    <cellStyle name="Followed Hyperlink 2" xfId="138" hidden="1" xr:uid="{00000000-0005-0000-0000-000097000000}"/>
    <cellStyle name="Followed Hyperlink 2" xfId="139" hidden="1" xr:uid="{00000000-0005-0000-0000-000098000000}"/>
    <cellStyle name="Followed Hyperlink 2" xfId="140" hidden="1" xr:uid="{00000000-0005-0000-0000-000099000000}"/>
    <cellStyle name="Followed Hyperlink 2" xfId="141" hidden="1" xr:uid="{00000000-0005-0000-0000-00009A000000}"/>
    <cellStyle name="Followed Hyperlink 2" xfId="142" hidden="1" xr:uid="{00000000-0005-0000-0000-00009B000000}"/>
    <cellStyle name="Followed Hyperlink 2" xfId="143" hidden="1" xr:uid="{00000000-0005-0000-0000-00009C000000}"/>
    <cellStyle name="Followed Hyperlink 2" xfId="144" hidden="1" xr:uid="{00000000-0005-0000-0000-00009D000000}"/>
    <cellStyle name="Followed Hyperlink 2" xfId="145" hidden="1" xr:uid="{00000000-0005-0000-0000-00009E000000}"/>
    <cellStyle name="Followed Hyperlink 2" xfId="146" hidden="1" xr:uid="{00000000-0005-0000-0000-00009F000000}"/>
    <cellStyle name="Followed Hyperlink 2" xfId="147" hidden="1" xr:uid="{00000000-0005-0000-0000-0000A0000000}"/>
    <cellStyle name="Followed Hyperlink 2" xfId="148" hidden="1" xr:uid="{00000000-0005-0000-0000-0000A1000000}"/>
    <cellStyle name="Followed Hyperlink 2" xfId="149" hidden="1" xr:uid="{00000000-0005-0000-0000-0000A2000000}"/>
    <cellStyle name="Followed Hyperlink 2" xfId="150" hidden="1" xr:uid="{00000000-0005-0000-0000-0000A3000000}"/>
    <cellStyle name="Followed Hyperlink 2" xfId="151" hidden="1" xr:uid="{00000000-0005-0000-0000-0000A4000000}"/>
    <cellStyle name="Followed Hyperlink 2" xfId="152" hidden="1" xr:uid="{00000000-0005-0000-0000-0000A5000000}"/>
    <cellStyle name="Followed Hyperlink 2" xfId="153" hidden="1" xr:uid="{00000000-0005-0000-0000-0000A6000000}"/>
    <cellStyle name="Followed Hyperlink 2" xfId="154" hidden="1" xr:uid="{00000000-0005-0000-0000-0000A7000000}"/>
    <cellStyle name="Followed Hyperlink 2" xfId="155" hidden="1" xr:uid="{00000000-0005-0000-0000-0000A8000000}"/>
    <cellStyle name="Followed Hyperlink 2" xfId="156" hidden="1" xr:uid="{00000000-0005-0000-0000-0000A9000000}"/>
    <cellStyle name="Followed Hyperlink 2" xfId="157" hidden="1" xr:uid="{00000000-0005-0000-0000-0000AA000000}"/>
    <cellStyle name="Followed Hyperlink 2" xfId="158" hidden="1" xr:uid="{00000000-0005-0000-0000-0000AB000000}"/>
    <cellStyle name="Followed Hyperlink 2" xfId="159" hidden="1" xr:uid="{00000000-0005-0000-0000-0000AC000000}"/>
    <cellStyle name="Followed Hyperlink 2" xfId="160" hidden="1" xr:uid="{00000000-0005-0000-0000-0000AD000000}"/>
    <cellStyle name="Followed Hyperlink 2" xfId="161" hidden="1" xr:uid="{00000000-0005-0000-0000-0000AE000000}"/>
    <cellStyle name="Followed Hyperlink 2" xfId="162" hidden="1" xr:uid="{00000000-0005-0000-0000-0000AF000000}"/>
    <cellStyle name="Followed Hyperlink 2" xfId="163" hidden="1" xr:uid="{00000000-0005-0000-0000-0000B0000000}"/>
    <cellStyle name="Followed Hyperlink 2" xfId="164" hidden="1" xr:uid="{00000000-0005-0000-0000-0000B1000000}"/>
    <cellStyle name="Followed Hyperlink 2" xfId="165" hidden="1" xr:uid="{00000000-0005-0000-0000-0000B2000000}"/>
    <cellStyle name="Followed Hyperlink 2" xfId="166" hidden="1" xr:uid="{00000000-0005-0000-0000-0000B3000000}"/>
    <cellStyle name="Followed Hyperlink 2" xfId="167" hidden="1" xr:uid="{00000000-0005-0000-0000-0000B4000000}"/>
    <cellStyle name="Followed Hyperlink 2" xfId="168" hidden="1" xr:uid="{00000000-0005-0000-0000-0000B5000000}"/>
    <cellStyle name="Followed Hyperlink 2" xfId="169" hidden="1" xr:uid="{00000000-0005-0000-0000-0000B6000000}"/>
    <cellStyle name="Followed Hyperlink 2" xfId="170" hidden="1" xr:uid="{00000000-0005-0000-0000-0000B7000000}"/>
    <cellStyle name="Followed Hyperlink 2" xfId="171" hidden="1" xr:uid="{00000000-0005-0000-0000-0000B8000000}"/>
    <cellStyle name="Followed Hyperlink 2" xfId="172" hidden="1" xr:uid="{00000000-0005-0000-0000-0000B9000000}"/>
    <cellStyle name="Followed Hyperlink 2" xfId="173" hidden="1" xr:uid="{00000000-0005-0000-0000-0000BA000000}"/>
    <cellStyle name="Followed Hyperlink 2" xfId="174" hidden="1" xr:uid="{00000000-0005-0000-0000-0000BB000000}"/>
    <cellStyle name="Followed Hyperlink 2" xfId="175" hidden="1" xr:uid="{00000000-0005-0000-0000-0000BC000000}"/>
    <cellStyle name="Followed Hyperlink 2" xfId="176" hidden="1" xr:uid="{00000000-0005-0000-0000-0000BD000000}"/>
    <cellStyle name="Followed Hyperlink 2" xfId="177" hidden="1" xr:uid="{00000000-0005-0000-0000-0000BE000000}"/>
    <cellStyle name="Followed Hyperlink 2" xfId="178" hidden="1" xr:uid="{00000000-0005-0000-0000-0000BF000000}"/>
    <cellStyle name="Followed Hyperlink 2" xfId="179" hidden="1" xr:uid="{00000000-0005-0000-0000-0000C0000000}"/>
    <cellStyle name="Followed Hyperlink 2" xfId="180" hidden="1" xr:uid="{00000000-0005-0000-0000-0000C1000000}"/>
    <cellStyle name="Followed Hyperlink 2" xfId="181" hidden="1" xr:uid="{00000000-0005-0000-0000-0000C2000000}"/>
    <cellStyle name="Followed Hyperlink 2" xfId="182" hidden="1" xr:uid="{00000000-0005-0000-0000-0000C3000000}"/>
    <cellStyle name="Followed Hyperlink 2" xfId="183" hidden="1" xr:uid="{00000000-0005-0000-0000-0000C4000000}"/>
    <cellStyle name="Followed Hyperlink 2" xfId="184" hidden="1" xr:uid="{00000000-0005-0000-0000-0000C5000000}"/>
    <cellStyle name="Followed Hyperlink 2" xfId="185" hidden="1" xr:uid="{00000000-0005-0000-0000-0000C6000000}"/>
    <cellStyle name="Followed Hyperlink 2" xfId="186" hidden="1" xr:uid="{00000000-0005-0000-0000-0000C7000000}"/>
    <cellStyle name="Followed Hyperlink 2" xfId="187" hidden="1" xr:uid="{00000000-0005-0000-0000-0000C8000000}"/>
    <cellStyle name="Followed Hyperlink 2" xfId="188" hidden="1" xr:uid="{00000000-0005-0000-0000-0000C9000000}"/>
    <cellStyle name="Followed Hyperlink 2" xfId="189" hidden="1" xr:uid="{00000000-0005-0000-0000-0000CA000000}"/>
    <cellStyle name="Followed Hyperlink 2" xfId="190" hidden="1" xr:uid="{00000000-0005-0000-0000-0000CB000000}"/>
    <cellStyle name="Followed Hyperlink 2" xfId="191" hidden="1" xr:uid="{00000000-0005-0000-0000-0000CC000000}"/>
    <cellStyle name="Followed Hyperlink 2" xfId="192" hidden="1" xr:uid="{00000000-0005-0000-0000-0000CD000000}"/>
    <cellStyle name="Followed Hyperlink 2" xfId="193" hidden="1" xr:uid="{00000000-0005-0000-0000-0000CE000000}"/>
    <cellStyle name="Followed Hyperlink 2" xfId="194" hidden="1" xr:uid="{00000000-0005-0000-0000-0000CF000000}"/>
    <cellStyle name="Followed Hyperlink 2" xfId="195" hidden="1" xr:uid="{00000000-0005-0000-0000-0000D0000000}"/>
    <cellStyle name="Followed Hyperlink 2" xfId="196" hidden="1" xr:uid="{00000000-0005-0000-0000-0000D1000000}"/>
    <cellStyle name="Followed Hyperlink 2" xfId="197" hidden="1" xr:uid="{00000000-0005-0000-0000-0000D2000000}"/>
    <cellStyle name="Followed Hyperlink 2" xfId="198" hidden="1" xr:uid="{00000000-0005-0000-0000-0000D3000000}"/>
    <cellStyle name="Followed Hyperlink 2" xfId="199" hidden="1" xr:uid="{00000000-0005-0000-0000-0000D4000000}"/>
    <cellStyle name="Followed Hyperlink 2" xfId="200" hidden="1" xr:uid="{00000000-0005-0000-0000-0000D5000000}"/>
    <cellStyle name="Followed Hyperlink 2" xfId="201" hidden="1" xr:uid="{00000000-0005-0000-0000-0000D6000000}"/>
    <cellStyle name="Followed Hyperlink 2" xfId="202" hidden="1" xr:uid="{00000000-0005-0000-0000-0000D7000000}"/>
    <cellStyle name="Followed Hyperlink 2" xfId="203" hidden="1" xr:uid="{00000000-0005-0000-0000-0000D8000000}"/>
    <cellStyle name="Followed Hyperlink 2" xfId="204" hidden="1" xr:uid="{00000000-0005-0000-0000-0000D9000000}"/>
    <cellStyle name="Followed Hyperlink 2" xfId="205" hidden="1" xr:uid="{00000000-0005-0000-0000-0000DA000000}"/>
    <cellStyle name="Followed Hyperlink 2" xfId="206" hidden="1" xr:uid="{00000000-0005-0000-0000-0000DB000000}"/>
    <cellStyle name="Followed Hyperlink 2" xfId="207" hidden="1" xr:uid="{00000000-0005-0000-0000-0000DC000000}"/>
    <cellStyle name="Followed Hyperlink 2" xfId="208" hidden="1" xr:uid="{00000000-0005-0000-0000-0000DD000000}"/>
    <cellStyle name="Followed Hyperlink 2" xfId="209" hidden="1" xr:uid="{00000000-0005-0000-0000-0000DE000000}"/>
    <cellStyle name="Followed Hyperlink 2" xfId="210" hidden="1" xr:uid="{00000000-0005-0000-0000-0000DF000000}"/>
    <cellStyle name="Followed Hyperlink 2" xfId="211" hidden="1" xr:uid="{00000000-0005-0000-0000-0000E0000000}"/>
    <cellStyle name="Followed Hyperlink 2" xfId="212" hidden="1" xr:uid="{00000000-0005-0000-0000-0000E1000000}"/>
    <cellStyle name="Followed Hyperlink 2" xfId="213" hidden="1" xr:uid="{00000000-0005-0000-0000-0000E2000000}"/>
    <cellStyle name="Followed Hyperlink 2" xfId="214" hidden="1" xr:uid="{00000000-0005-0000-0000-0000E3000000}"/>
    <cellStyle name="Followed Hyperlink 2" xfId="215" hidden="1" xr:uid="{00000000-0005-0000-0000-0000E4000000}"/>
    <cellStyle name="Followed Hyperlink 2" xfId="216" hidden="1" xr:uid="{00000000-0005-0000-0000-0000E5000000}"/>
    <cellStyle name="Followed Hyperlink 2" xfId="217" hidden="1" xr:uid="{00000000-0005-0000-0000-0000E6000000}"/>
    <cellStyle name="Followed Hyperlink 2" xfId="218" hidden="1" xr:uid="{00000000-0005-0000-0000-0000E7000000}"/>
    <cellStyle name="Followed Hyperlink 2" xfId="219" hidden="1" xr:uid="{00000000-0005-0000-0000-0000E8000000}"/>
    <cellStyle name="Followed Hyperlink 2" xfId="220" hidden="1" xr:uid="{00000000-0005-0000-0000-0000E9000000}"/>
    <cellStyle name="Followed Hyperlink 2" xfId="221" hidden="1" xr:uid="{00000000-0005-0000-0000-0000EA000000}"/>
    <cellStyle name="Followed Hyperlink 2" xfId="222" hidden="1" xr:uid="{00000000-0005-0000-0000-0000EB000000}"/>
    <cellStyle name="Followed Hyperlink 2" xfId="223" hidden="1" xr:uid="{00000000-0005-0000-0000-0000EC000000}"/>
    <cellStyle name="Followed Hyperlink 2" xfId="224" hidden="1" xr:uid="{00000000-0005-0000-0000-0000ED000000}"/>
    <cellStyle name="Followed Hyperlink 2" xfId="225" hidden="1" xr:uid="{00000000-0005-0000-0000-0000EE000000}"/>
    <cellStyle name="Followed Hyperlink 2" xfId="226" hidden="1" xr:uid="{00000000-0005-0000-0000-0000EF000000}"/>
    <cellStyle name="Followed Hyperlink 2" xfId="227" hidden="1" xr:uid="{00000000-0005-0000-0000-0000F0000000}"/>
    <cellStyle name="Followed Hyperlink 2" xfId="228" hidden="1" xr:uid="{00000000-0005-0000-0000-0000F1000000}"/>
    <cellStyle name="Followed Hyperlink 2" xfId="229" hidden="1" xr:uid="{00000000-0005-0000-0000-0000F2000000}"/>
    <cellStyle name="Followed Hyperlink 2" xfId="230" hidden="1" xr:uid="{00000000-0005-0000-0000-0000F3000000}"/>
    <cellStyle name="Followed Hyperlink 2" xfId="231" hidden="1" xr:uid="{00000000-0005-0000-0000-0000F4000000}"/>
    <cellStyle name="Followed Hyperlink 2" xfId="232" hidden="1" xr:uid="{00000000-0005-0000-0000-0000F5000000}"/>
    <cellStyle name="Followed Hyperlink 2" xfId="233" hidden="1" xr:uid="{00000000-0005-0000-0000-0000F6000000}"/>
    <cellStyle name="Followed Hyperlink 2" xfId="234" hidden="1" xr:uid="{00000000-0005-0000-0000-0000F7000000}"/>
    <cellStyle name="Followed Hyperlink 2" xfId="235" hidden="1" xr:uid="{00000000-0005-0000-0000-0000F8000000}"/>
    <cellStyle name="Followed Hyperlink 2" xfId="236" hidden="1" xr:uid="{00000000-0005-0000-0000-0000F9000000}"/>
    <cellStyle name="Followed Hyperlink 2" xfId="237" hidden="1" xr:uid="{00000000-0005-0000-0000-0000FA000000}"/>
    <cellStyle name="Followed Hyperlink 2" xfId="238" hidden="1" xr:uid="{00000000-0005-0000-0000-0000FB000000}"/>
    <cellStyle name="Followed Hyperlink 2" xfId="239" hidden="1" xr:uid="{00000000-0005-0000-0000-0000FC000000}"/>
    <cellStyle name="Followed Hyperlink 2" xfId="240" hidden="1" xr:uid="{00000000-0005-0000-0000-0000FD000000}"/>
    <cellStyle name="Followed Hyperlink 2" xfId="241" hidden="1" xr:uid="{00000000-0005-0000-0000-0000FE000000}"/>
    <cellStyle name="Followed Hyperlink 2" xfId="242" hidden="1" xr:uid="{00000000-0005-0000-0000-0000FF000000}"/>
    <cellStyle name="Followed Hyperlink 2" xfId="243" hidden="1" xr:uid="{00000000-0005-0000-0000-000000010000}"/>
    <cellStyle name="Followed Hyperlink 2" xfId="244" hidden="1" xr:uid="{00000000-0005-0000-0000-000001010000}"/>
    <cellStyle name="Followed Hyperlink 2" xfId="245" hidden="1" xr:uid="{00000000-0005-0000-0000-000002010000}"/>
    <cellStyle name="Followed Hyperlink 2" xfId="246" hidden="1" xr:uid="{00000000-0005-0000-0000-000003010000}"/>
    <cellStyle name="Followed Hyperlink 2" xfId="247" hidden="1" xr:uid="{00000000-0005-0000-0000-000004010000}"/>
    <cellStyle name="Followed Hyperlink 2" xfId="248" hidden="1" xr:uid="{00000000-0005-0000-0000-000005010000}"/>
    <cellStyle name="Followed Hyperlink 2" xfId="249" hidden="1" xr:uid="{00000000-0005-0000-0000-000006010000}"/>
    <cellStyle name="Followed Hyperlink 2" xfId="250" hidden="1" xr:uid="{00000000-0005-0000-0000-000007010000}"/>
    <cellStyle name="Followed Hyperlink 2" xfId="251" hidden="1" xr:uid="{00000000-0005-0000-0000-000008010000}"/>
    <cellStyle name="Followed Hyperlink 2" xfId="252" hidden="1" xr:uid="{00000000-0005-0000-0000-000009010000}"/>
    <cellStyle name="Followed Hyperlink 2" xfId="253" hidden="1" xr:uid="{00000000-0005-0000-0000-00000A010000}"/>
    <cellStyle name="Followed Hyperlink 2" xfId="254" hidden="1" xr:uid="{00000000-0005-0000-0000-00000B010000}"/>
    <cellStyle name="Followed Hyperlink 2" xfId="255" hidden="1" xr:uid="{00000000-0005-0000-0000-00000C010000}"/>
    <cellStyle name="Followed Hyperlink 2" xfId="256" hidden="1" xr:uid="{00000000-0005-0000-0000-00000D010000}"/>
    <cellStyle name="Followed Hyperlink 2" xfId="257" hidden="1" xr:uid="{00000000-0005-0000-0000-00000E010000}"/>
    <cellStyle name="Followed Hyperlink 2" xfId="258" hidden="1" xr:uid="{00000000-0005-0000-0000-00000F010000}"/>
    <cellStyle name="Followed Hyperlink 2" xfId="259" hidden="1" xr:uid="{00000000-0005-0000-0000-000010010000}"/>
    <cellStyle name="Followed Hyperlink 2" xfId="260" hidden="1" xr:uid="{00000000-0005-0000-0000-000011010000}"/>
    <cellStyle name="Followed Hyperlink 2" xfId="261" hidden="1" xr:uid="{00000000-0005-0000-0000-000012010000}"/>
    <cellStyle name="Followed Hyperlink 2" xfId="262" hidden="1" xr:uid="{00000000-0005-0000-0000-000013010000}"/>
    <cellStyle name="Followed Hyperlink 2" xfId="263" hidden="1" xr:uid="{00000000-0005-0000-0000-000014010000}"/>
    <cellStyle name="Followed Hyperlink 2" xfId="264" hidden="1" xr:uid="{00000000-0005-0000-0000-000015010000}"/>
    <cellStyle name="Followed Hyperlink 2" xfId="265" hidden="1" xr:uid="{00000000-0005-0000-0000-000016010000}"/>
    <cellStyle name="Followed Hyperlink 2" xfId="266" hidden="1" xr:uid="{00000000-0005-0000-0000-000017010000}"/>
    <cellStyle name="Followed Hyperlink 2" xfId="267" hidden="1" xr:uid="{00000000-0005-0000-0000-000018010000}"/>
    <cellStyle name="Followed Hyperlink 2" xfId="272" hidden="1" xr:uid="{00000000-0005-0000-0000-000019010000}"/>
    <cellStyle name="Followed Hyperlink 2" xfId="273" hidden="1" xr:uid="{00000000-0005-0000-0000-00001A010000}"/>
    <cellStyle name="Followed Hyperlink 2" xfId="274" hidden="1" xr:uid="{00000000-0005-0000-0000-00001B010000}"/>
    <cellStyle name="Followed Hyperlink 2" xfId="275" hidden="1" xr:uid="{00000000-0005-0000-0000-00001C010000}"/>
    <cellStyle name="Followed Hyperlink 2" xfId="276" hidden="1" xr:uid="{00000000-0005-0000-0000-00001D010000}"/>
    <cellStyle name="Followed Hyperlink 2" xfId="277" hidden="1" xr:uid="{00000000-0005-0000-0000-00001E010000}"/>
    <cellStyle name="Followed Hyperlink 2" xfId="278" hidden="1" xr:uid="{00000000-0005-0000-0000-00001F010000}"/>
    <cellStyle name="Followed Hyperlink 2" xfId="279" hidden="1" xr:uid="{00000000-0005-0000-0000-000020010000}"/>
    <cellStyle name="Followed Hyperlink 2" xfId="280" hidden="1" xr:uid="{00000000-0005-0000-0000-000021010000}"/>
    <cellStyle name="Followed Hyperlink 2" xfId="281" hidden="1" xr:uid="{00000000-0005-0000-0000-000022010000}"/>
    <cellStyle name="Followed Hyperlink 2" xfId="282" hidden="1" xr:uid="{00000000-0005-0000-0000-000023010000}"/>
    <cellStyle name="Followed Hyperlink 2" xfId="283" hidden="1" xr:uid="{00000000-0005-0000-0000-000024010000}"/>
    <cellStyle name="Followed Hyperlink 2" xfId="284" hidden="1" xr:uid="{00000000-0005-0000-0000-000025010000}"/>
    <cellStyle name="Followed Hyperlink 2" xfId="285" hidden="1" xr:uid="{00000000-0005-0000-0000-000026010000}"/>
    <cellStyle name="Followed Hyperlink 2" xfId="286" hidden="1" xr:uid="{00000000-0005-0000-0000-000027010000}"/>
    <cellStyle name="Followed Hyperlink 2" xfId="287" hidden="1" xr:uid="{00000000-0005-0000-0000-000028010000}"/>
    <cellStyle name="Followed Hyperlink 2" xfId="288" hidden="1" xr:uid="{00000000-0005-0000-0000-000029010000}"/>
    <cellStyle name="Followed Hyperlink 2" xfId="289" hidden="1" xr:uid="{00000000-0005-0000-0000-00002A010000}"/>
    <cellStyle name="Followed Hyperlink 2" xfId="290" hidden="1" xr:uid="{00000000-0005-0000-0000-00002B010000}"/>
    <cellStyle name="Followed Hyperlink 2" xfId="291" hidden="1" xr:uid="{00000000-0005-0000-0000-00002C010000}"/>
    <cellStyle name="Followed Hyperlink 2" xfId="292" hidden="1" xr:uid="{00000000-0005-0000-0000-00002D010000}"/>
    <cellStyle name="Followed Hyperlink 2" xfId="293" hidden="1" xr:uid="{00000000-0005-0000-0000-00002E010000}"/>
    <cellStyle name="Followed Hyperlink 2" xfId="294" hidden="1" xr:uid="{00000000-0005-0000-0000-00002F010000}"/>
    <cellStyle name="Followed Hyperlink 2" xfId="295" hidden="1" xr:uid="{00000000-0005-0000-0000-000030010000}"/>
    <cellStyle name="Followed Hyperlink 2" xfId="296" hidden="1" xr:uid="{00000000-0005-0000-0000-000031010000}"/>
    <cellStyle name="Followed Hyperlink 2" xfId="297" hidden="1" xr:uid="{00000000-0005-0000-0000-000032010000}"/>
    <cellStyle name="Followed Hyperlink 2" xfId="298" hidden="1" xr:uid="{00000000-0005-0000-0000-000033010000}"/>
    <cellStyle name="Followed Hyperlink 2" xfId="299" hidden="1" xr:uid="{00000000-0005-0000-0000-000034010000}"/>
    <cellStyle name="Followed Hyperlink 2" xfId="300" hidden="1" xr:uid="{00000000-0005-0000-0000-000035010000}"/>
    <cellStyle name="Followed Hyperlink 2" xfId="301" hidden="1" xr:uid="{00000000-0005-0000-0000-000036010000}"/>
    <cellStyle name="Followed Hyperlink 2" xfId="302" hidden="1" xr:uid="{00000000-0005-0000-0000-000037010000}"/>
    <cellStyle name="Followed Hyperlink 2" xfId="303" hidden="1" xr:uid="{00000000-0005-0000-0000-000038010000}"/>
    <cellStyle name="Followed Hyperlink 2" xfId="304" hidden="1" xr:uid="{00000000-0005-0000-0000-000039010000}"/>
    <cellStyle name="Followed Hyperlink 2" xfId="305" hidden="1" xr:uid="{00000000-0005-0000-0000-00003A010000}"/>
    <cellStyle name="Followed Hyperlink 2" xfId="306" hidden="1" xr:uid="{00000000-0005-0000-0000-00003B010000}"/>
    <cellStyle name="Followed Hyperlink 2" xfId="307" hidden="1" xr:uid="{00000000-0005-0000-0000-00003C010000}"/>
    <cellStyle name="Followed Hyperlink 2" xfId="308" hidden="1" xr:uid="{00000000-0005-0000-0000-00003D010000}"/>
    <cellStyle name="Followed Hyperlink 2" xfId="309" hidden="1" xr:uid="{00000000-0005-0000-0000-00003E010000}"/>
    <cellStyle name="Followed Hyperlink 2" xfId="310" hidden="1" xr:uid="{00000000-0005-0000-0000-00003F010000}"/>
    <cellStyle name="Followed Hyperlink 2" xfId="311" hidden="1" xr:uid="{00000000-0005-0000-0000-000040010000}"/>
    <cellStyle name="Followed Hyperlink 2" xfId="312" hidden="1" xr:uid="{00000000-0005-0000-0000-000041010000}"/>
    <cellStyle name="Followed Hyperlink 2" xfId="313" hidden="1" xr:uid="{00000000-0005-0000-0000-000042010000}"/>
    <cellStyle name="Followed Hyperlink 2" xfId="314" hidden="1" xr:uid="{00000000-0005-0000-0000-000043010000}"/>
    <cellStyle name="Followed Hyperlink 2" xfId="315" hidden="1" xr:uid="{00000000-0005-0000-0000-000044010000}"/>
    <cellStyle name="Followed Hyperlink 2" xfId="316" hidden="1" xr:uid="{00000000-0005-0000-0000-000045010000}"/>
    <cellStyle name="Followed Hyperlink 2" xfId="317" hidden="1" xr:uid="{00000000-0005-0000-0000-000046010000}"/>
    <cellStyle name="Followed Hyperlink 2" xfId="318" hidden="1" xr:uid="{00000000-0005-0000-0000-000047010000}"/>
    <cellStyle name="Followed Hyperlink 2" xfId="319" hidden="1" xr:uid="{00000000-0005-0000-0000-000048010000}"/>
    <cellStyle name="Followed Hyperlink 2" xfId="320" hidden="1" xr:uid="{00000000-0005-0000-0000-000049010000}"/>
    <cellStyle name="Followed Hyperlink 2" xfId="321" hidden="1" xr:uid="{00000000-0005-0000-0000-00004A010000}"/>
    <cellStyle name="Followed Hyperlink 2" xfId="322" hidden="1" xr:uid="{00000000-0005-0000-0000-00004B010000}"/>
    <cellStyle name="Followed Hyperlink 2" xfId="323" hidden="1" xr:uid="{00000000-0005-0000-0000-00004C010000}"/>
    <cellStyle name="Followed Hyperlink 2" xfId="324" hidden="1" xr:uid="{00000000-0005-0000-0000-00004D010000}"/>
    <cellStyle name="Followed Hyperlink 2" xfId="325" hidden="1" xr:uid="{00000000-0005-0000-0000-00004E010000}"/>
    <cellStyle name="Followed Hyperlink 2" xfId="326" hidden="1" xr:uid="{00000000-0005-0000-0000-00004F010000}"/>
    <cellStyle name="Followed Hyperlink 2" xfId="327" hidden="1" xr:uid="{00000000-0005-0000-0000-000050010000}"/>
    <cellStyle name="Followed Hyperlink 2" xfId="328" hidden="1" xr:uid="{00000000-0005-0000-0000-000051010000}"/>
    <cellStyle name="Followed Hyperlink 2" xfId="329" hidden="1" xr:uid="{00000000-0005-0000-0000-000052010000}"/>
    <cellStyle name="Followed Hyperlink 2" xfId="330" hidden="1" xr:uid="{00000000-0005-0000-0000-000053010000}"/>
    <cellStyle name="Followed Hyperlink 2" xfId="331" hidden="1" xr:uid="{00000000-0005-0000-0000-000054010000}"/>
    <cellStyle name="Followed Hyperlink 2" xfId="332" hidden="1" xr:uid="{00000000-0005-0000-0000-000055010000}"/>
    <cellStyle name="Followed Hyperlink 2" xfId="333" hidden="1" xr:uid="{00000000-0005-0000-0000-000056010000}"/>
    <cellStyle name="Followed Hyperlink 2" xfId="334" hidden="1" xr:uid="{00000000-0005-0000-0000-000057010000}"/>
    <cellStyle name="Followed Hyperlink 2" xfId="335" hidden="1" xr:uid="{00000000-0005-0000-0000-000058010000}"/>
    <cellStyle name="Followed Hyperlink 2" xfId="336" hidden="1" xr:uid="{00000000-0005-0000-0000-000059010000}"/>
    <cellStyle name="Followed Hyperlink 2" xfId="337" hidden="1" xr:uid="{00000000-0005-0000-0000-00005A010000}"/>
    <cellStyle name="Followed Hyperlink 2" xfId="338" hidden="1" xr:uid="{00000000-0005-0000-0000-00005B010000}"/>
    <cellStyle name="Followed Hyperlink 2" xfId="339" hidden="1" xr:uid="{00000000-0005-0000-0000-00005C010000}"/>
    <cellStyle name="Followed Hyperlink 2" xfId="340" hidden="1" xr:uid="{00000000-0005-0000-0000-00005D010000}"/>
    <cellStyle name="Followed Hyperlink 2" xfId="341" hidden="1" xr:uid="{00000000-0005-0000-0000-00005E010000}"/>
    <cellStyle name="Followed Hyperlink 2" xfId="342" hidden="1" xr:uid="{00000000-0005-0000-0000-00005F010000}"/>
    <cellStyle name="Followed Hyperlink 2" xfId="343" hidden="1" xr:uid="{00000000-0005-0000-0000-000060010000}"/>
    <cellStyle name="Followed Hyperlink 2" xfId="344" hidden="1" xr:uid="{00000000-0005-0000-0000-000061010000}"/>
    <cellStyle name="Followed Hyperlink 2" xfId="345" hidden="1" xr:uid="{00000000-0005-0000-0000-000062010000}"/>
    <cellStyle name="Followed Hyperlink 2" xfId="346" hidden="1" xr:uid="{00000000-0005-0000-0000-000063010000}"/>
    <cellStyle name="Followed Hyperlink 2" xfId="347" hidden="1" xr:uid="{00000000-0005-0000-0000-000064010000}"/>
    <cellStyle name="Followed Hyperlink 2" xfId="348" hidden="1" xr:uid="{00000000-0005-0000-0000-000065010000}"/>
    <cellStyle name="Followed Hyperlink 2" xfId="349" hidden="1" xr:uid="{00000000-0005-0000-0000-000066010000}"/>
    <cellStyle name="Followed Hyperlink 2" xfId="350" hidden="1" xr:uid="{00000000-0005-0000-0000-000067010000}"/>
    <cellStyle name="Followed Hyperlink 2" xfId="351" hidden="1" xr:uid="{00000000-0005-0000-0000-000068010000}"/>
    <cellStyle name="Followed Hyperlink 2" xfId="352" hidden="1" xr:uid="{00000000-0005-0000-0000-000069010000}"/>
    <cellStyle name="Followed Hyperlink 2" xfId="353" hidden="1" xr:uid="{00000000-0005-0000-0000-00006A010000}"/>
    <cellStyle name="Followed Hyperlink 2" xfId="354" hidden="1" xr:uid="{00000000-0005-0000-0000-00006B010000}"/>
    <cellStyle name="Followed Hyperlink 2" xfId="355" hidden="1" xr:uid="{00000000-0005-0000-0000-00006C010000}"/>
    <cellStyle name="Followed Hyperlink 2" xfId="356" hidden="1" xr:uid="{00000000-0005-0000-0000-00006D010000}"/>
    <cellStyle name="Followed Hyperlink 2" xfId="357" hidden="1" xr:uid="{00000000-0005-0000-0000-00006E010000}"/>
    <cellStyle name="Followed Hyperlink 2" xfId="358" hidden="1" xr:uid="{00000000-0005-0000-0000-00006F010000}"/>
    <cellStyle name="Followed Hyperlink 2" xfId="359" hidden="1" xr:uid="{00000000-0005-0000-0000-000070010000}"/>
    <cellStyle name="Followed Hyperlink 2" xfId="360" hidden="1" xr:uid="{00000000-0005-0000-0000-000071010000}"/>
    <cellStyle name="Followed Hyperlink 2" xfId="361" hidden="1" xr:uid="{00000000-0005-0000-0000-000072010000}"/>
    <cellStyle name="Followed Hyperlink 2" xfId="362" hidden="1" xr:uid="{00000000-0005-0000-0000-000073010000}"/>
    <cellStyle name="Followed Hyperlink 2" xfId="363" hidden="1" xr:uid="{00000000-0005-0000-0000-000074010000}"/>
    <cellStyle name="Followed Hyperlink 2" xfId="364" hidden="1" xr:uid="{00000000-0005-0000-0000-000075010000}"/>
    <cellStyle name="Followed Hyperlink 2" xfId="365" hidden="1" xr:uid="{00000000-0005-0000-0000-000076010000}"/>
    <cellStyle name="Followed Hyperlink 2" xfId="366" hidden="1" xr:uid="{00000000-0005-0000-0000-000077010000}"/>
    <cellStyle name="Followed Hyperlink 2" xfId="367" hidden="1" xr:uid="{00000000-0005-0000-0000-000078010000}"/>
    <cellStyle name="Followed Hyperlink 2" xfId="368" hidden="1" xr:uid="{00000000-0005-0000-0000-000079010000}"/>
    <cellStyle name="Followed Hyperlink 2" xfId="369" hidden="1" xr:uid="{00000000-0005-0000-0000-00007A010000}"/>
    <cellStyle name="Followed Hyperlink 2" xfId="370" hidden="1" xr:uid="{00000000-0005-0000-0000-00007B010000}"/>
    <cellStyle name="Followed Hyperlink 2" xfId="371" hidden="1" xr:uid="{00000000-0005-0000-0000-00007C010000}"/>
    <cellStyle name="Followed Hyperlink 2" xfId="372" hidden="1" xr:uid="{00000000-0005-0000-0000-00007D010000}"/>
    <cellStyle name="Followed Hyperlink 2" xfId="373" hidden="1" xr:uid="{00000000-0005-0000-0000-00007E010000}"/>
    <cellStyle name="Followed Hyperlink 2" xfId="374" hidden="1" xr:uid="{00000000-0005-0000-0000-00007F010000}"/>
    <cellStyle name="Followed Hyperlink 2" xfId="375" hidden="1" xr:uid="{00000000-0005-0000-0000-000080010000}"/>
    <cellStyle name="Followed Hyperlink 2" xfId="376" hidden="1" xr:uid="{00000000-0005-0000-0000-000081010000}"/>
    <cellStyle name="Followed Hyperlink 2" xfId="377" hidden="1" xr:uid="{00000000-0005-0000-0000-000082010000}"/>
    <cellStyle name="Followed Hyperlink 2" xfId="378" hidden="1" xr:uid="{00000000-0005-0000-0000-000083010000}"/>
    <cellStyle name="Followed Hyperlink 2" xfId="379" hidden="1" xr:uid="{00000000-0005-0000-0000-000084010000}"/>
    <cellStyle name="Followed Hyperlink 2" xfId="380" hidden="1" xr:uid="{00000000-0005-0000-0000-000085010000}"/>
    <cellStyle name="Followed Hyperlink 2" xfId="381" hidden="1" xr:uid="{00000000-0005-0000-0000-000086010000}"/>
    <cellStyle name="Followed Hyperlink 2" xfId="382" hidden="1" xr:uid="{00000000-0005-0000-0000-000087010000}"/>
    <cellStyle name="Followed Hyperlink 2" xfId="383" hidden="1" xr:uid="{00000000-0005-0000-0000-000088010000}"/>
    <cellStyle name="Followed Hyperlink 2" xfId="384" hidden="1" xr:uid="{00000000-0005-0000-0000-000089010000}"/>
    <cellStyle name="Followed Hyperlink 2" xfId="385" hidden="1" xr:uid="{00000000-0005-0000-0000-00008A010000}"/>
    <cellStyle name="Followed Hyperlink 2" xfId="386" hidden="1" xr:uid="{00000000-0005-0000-0000-00008B010000}"/>
    <cellStyle name="Followed Hyperlink 2" xfId="387" hidden="1" xr:uid="{00000000-0005-0000-0000-00008C010000}"/>
    <cellStyle name="Followed Hyperlink 2" xfId="388" hidden="1" xr:uid="{00000000-0005-0000-0000-00008D010000}"/>
    <cellStyle name="Followed Hyperlink 2" xfId="389" hidden="1" xr:uid="{00000000-0005-0000-0000-00008E010000}"/>
    <cellStyle name="Followed Hyperlink 2" xfId="390" hidden="1" xr:uid="{00000000-0005-0000-0000-00008F010000}"/>
    <cellStyle name="Followed Hyperlink 2" xfId="391" hidden="1" xr:uid="{00000000-0005-0000-0000-000090010000}"/>
    <cellStyle name="Followed Hyperlink 2" xfId="392" hidden="1" xr:uid="{00000000-0005-0000-0000-000091010000}"/>
    <cellStyle name="Followed Hyperlink 2" xfId="393" hidden="1" xr:uid="{00000000-0005-0000-0000-000092010000}"/>
    <cellStyle name="Followed Hyperlink 2" xfId="394" hidden="1" xr:uid="{00000000-0005-0000-0000-000093010000}"/>
    <cellStyle name="Followed Hyperlink 2" xfId="395" hidden="1" xr:uid="{00000000-0005-0000-0000-000094010000}"/>
    <cellStyle name="Followed Hyperlink 2" xfId="396" hidden="1" xr:uid="{00000000-0005-0000-0000-000095010000}"/>
    <cellStyle name="Followed Hyperlink 2" xfId="397" hidden="1" xr:uid="{00000000-0005-0000-0000-000096010000}"/>
    <cellStyle name="Followed Hyperlink 2" xfId="398" hidden="1" xr:uid="{00000000-0005-0000-0000-000097010000}"/>
    <cellStyle name="Followed Hyperlink 2" xfId="399" hidden="1" xr:uid="{00000000-0005-0000-0000-000098010000}"/>
    <cellStyle name="Followed Hyperlink 2" xfId="400" hidden="1" xr:uid="{00000000-0005-0000-0000-000099010000}"/>
    <cellStyle name="Followed Hyperlink 2" xfId="401" hidden="1" xr:uid="{00000000-0005-0000-0000-00009A010000}"/>
    <cellStyle name="Followed Hyperlink 2" xfId="402" hidden="1" xr:uid="{00000000-0005-0000-0000-00009B010000}"/>
    <cellStyle name="Followed Hyperlink 2" xfId="403" hidden="1" xr:uid="{00000000-0005-0000-0000-00009C010000}"/>
    <cellStyle name="Followed Hyperlink 2" xfId="404" hidden="1" xr:uid="{00000000-0005-0000-0000-00009D010000}"/>
    <cellStyle name="Followed Hyperlink 2" xfId="405" hidden="1" xr:uid="{00000000-0005-0000-0000-00009E010000}"/>
    <cellStyle name="Followed Hyperlink 2" xfId="406" hidden="1" xr:uid="{00000000-0005-0000-0000-00009F010000}"/>
    <cellStyle name="Followed Hyperlink 2" xfId="407" hidden="1" xr:uid="{00000000-0005-0000-0000-0000A0010000}"/>
    <cellStyle name="Followed Hyperlink 2" xfId="408" hidden="1" xr:uid="{00000000-0005-0000-0000-0000A1010000}"/>
    <cellStyle name="Followed Hyperlink 2" xfId="409" hidden="1" xr:uid="{00000000-0005-0000-0000-0000A2010000}"/>
    <cellStyle name="Followed Hyperlink 2" xfId="410" hidden="1" xr:uid="{00000000-0005-0000-0000-0000A3010000}"/>
    <cellStyle name="Followed Hyperlink 2" xfId="411" hidden="1" xr:uid="{00000000-0005-0000-0000-0000A4010000}"/>
    <cellStyle name="Followed Hyperlink 2" xfId="412" hidden="1" xr:uid="{00000000-0005-0000-0000-0000A5010000}"/>
    <cellStyle name="Followed Hyperlink 2" xfId="413" hidden="1" xr:uid="{00000000-0005-0000-0000-0000A6010000}"/>
    <cellStyle name="Followed Hyperlink 2" xfId="414" hidden="1" xr:uid="{00000000-0005-0000-0000-0000A7010000}"/>
    <cellStyle name="Followed Hyperlink 2" xfId="415" hidden="1" xr:uid="{00000000-0005-0000-0000-0000A8010000}"/>
    <cellStyle name="Followed Hyperlink 2" xfId="416" hidden="1" xr:uid="{00000000-0005-0000-0000-0000A9010000}"/>
    <cellStyle name="Followed Hyperlink 2" xfId="417" hidden="1" xr:uid="{00000000-0005-0000-0000-0000AA010000}"/>
    <cellStyle name="Followed Hyperlink 2" xfId="418" hidden="1" xr:uid="{00000000-0005-0000-0000-0000AB010000}"/>
    <cellStyle name="Followed Hyperlink 2" xfId="419" hidden="1" xr:uid="{00000000-0005-0000-0000-0000AC010000}"/>
    <cellStyle name="Followed Hyperlink 2" xfId="420" hidden="1" xr:uid="{00000000-0005-0000-0000-0000AD010000}"/>
    <cellStyle name="Followed Hyperlink 2" xfId="421" hidden="1" xr:uid="{00000000-0005-0000-0000-0000AE010000}"/>
    <cellStyle name="Followed Hyperlink 2" xfId="422" hidden="1" xr:uid="{00000000-0005-0000-0000-0000AF010000}"/>
    <cellStyle name="Followed Hyperlink 2" xfId="423" hidden="1" xr:uid="{00000000-0005-0000-0000-0000B0010000}"/>
    <cellStyle name="Followed Hyperlink 2" xfId="424" hidden="1" xr:uid="{00000000-0005-0000-0000-0000B1010000}"/>
    <cellStyle name="Followed Hyperlink 2" xfId="425" hidden="1" xr:uid="{00000000-0005-0000-0000-0000B2010000}"/>
    <cellStyle name="Followed Hyperlink 2" xfId="426" hidden="1" xr:uid="{00000000-0005-0000-0000-0000B3010000}"/>
    <cellStyle name="Followed Hyperlink 2" xfId="427" hidden="1" xr:uid="{00000000-0005-0000-0000-0000B4010000}"/>
    <cellStyle name="Followed Hyperlink 2" xfId="428" hidden="1" xr:uid="{00000000-0005-0000-0000-0000B5010000}"/>
    <cellStyle name="Followed Hyperlink 2" xfId="429" hidden="1" xr:uid="{00000000-0005-0000-0000-0000B6010000}"/>
    <cellStyle name="Followed Hyperlink 2" xfId="430" hidden="1" xr:uid="{00000000-0005-0000-0000-0000B7010000}"/>
    <cellStyle name="Followed Hyperlink 2" xfId="431" hidden="1" xr:uid="{00000000-0005-0000-0000-0000B8010000}"/>
    <cellStyle name="Followed Hyperlink 2" xfId="432" hidden="1" xr:uid="{00000000-0005-0000-0000-0000B9010000}"/>
    <cellStyle name="Followed Hyperlink 2" xfId="433" hidden="1" xr:uid="{00000000-0005-0000-0000-0000BA010000}"/>
    <cellStyle name="Followed Hyperlink 2" xfId="434" hidden="1" xr:uid="{00000000-0005-0000-0000-0000BB010000}"/>
    <cellStyle name="Followed Hyperlink 2" xfId="435" hidden="1" xr:uid="{00000000-0005-0000-0000-0000BC010000}"/>
    <cellStyle name="Followed Hyperlink 2" xfId="436" hidden="1" xr:uid="{00000000-0005-0000-0000-0000BD010000}"/>
    <cellStyle name="Followed Hyperlink 2" xfId="437" hidden="1" xr:uid="{00000000-0005-0000-0000-0000BE010000}"/>
    <cellStyle name="Followed Hyperlink 2" xfId="438" hidden="1" xr:uid="{00000000-0005-0000-0000-0000BF010000}"/>
    <cellStyle name="Followed Hyperlink 2" xfId="439" hidden="1" xr:uid="{00000000-0005-0000-0000-0000C0010000}"/>
    <cellStyle name="Followed Hyperlink 2" xfId="440" hidden="1" xr:uid="{00000000-0005-0000-0000-0000C1010000}"/>
    <cellStyle name="Followed Hyperlink 2" xfId="441" hidden="1" xr:uid="{00000000-0005-0000-0000-0000C2010000}"/>
    <cellStyle name="Followed Hyperlink 2" xfId="442" hidden="1" xr:uid="{00000000-0005-0000-0000-0000C3010000}"/>
    <cellStyle name="Followed Hyperlink 2" xfId="443" hidden="1" xr:uid="{00000000-0005-0000-0000-0000C4010000}"/>
    <cellStyle name="Followed Hyperlink 2" xfId="444" hidden="1" xr:uid="{00000000-0005-0000-0000-0000C5010000}"/>
    <cellStyle name="Followed Hyperlink 2" xfId="445" hidden="1" xr:uid="{00000000-0005-0000-0000-0000C6010000}"/>
    <cellStyle name="Followed Hyperlink 2" xfId="446" hidden="1" xr:uid="{00000000-0005-0000-0000-0000C7010000}"/>
    <cellStyle name="Followed Hyperlink 2" xfId="447" hidden="1" xr:uid="{00000000-0005-0000-0000-0000C8010000}"/>
    <cellStyle name="Followed Hyperlink 2" xfId="448" hidden="1" xr:uid="{00000000-0005-0000-0000-0000C9010000}"/>
    <cellStyle name="Followed Hyperlink 2" xfId="449" hidden="1" xr:uid="{00000000-0005-0000-0000-0000CA010000}"/>
    <cellStyle name="Followed Hyperlink 2" xfId="450" hidden="1" xr:uid="{00000000-0005-0000-0000-0000CB010000}"/>
    <cellStyle name="Followed Hyperlink 2" xfId="451" hidden="1" xr:uid="{00000000-0005-0000-0000-0000CC010000}"/>
    <cellStyle name="Followed Hyperlink 2" xfId="452" hidden="1" xr:uid="{00000000-0005-0000-0000-0000CD010000}"/>
    <cellStyle name="Followed Hyperlink 2" xfId="453" hidden="1" xr:uid="{00000000-0005-0000-0000-0000CE010000}"/>
    <cellStyle name="Followed Hyperlink 2" xfId="454" hidden="1" xr:uid="{00000000-0005-0000-0000-0000CF010000}"/>
    <cellStyle name="Followed Hyperlink 2" xfId="455" hidden="1" xr:uid="{00000000-0005-0000-0000-0000D0010000}"/>
    <cellStyle name="Followed Hyperlink 2" xfId="456" hidden="1" xr:uid="{00000000-0005-0000-0000-0000D1010000}"/>
    <cellStyle name="Followed Hyperlink 2" xfId="457" hidden="1" xr:uid="{00000000-0005-0000-0000-0000D2010000}"/>
    <cellStyle name="Followed Hyperlink 2" xfId="458" hidden="1" xr:uid="{00000000-0005-0000-0000-0000D3010000}"/>
    <cellStyle name="Followed Hyperlink 2" xfId="459" hidden="1" xr:uid="{00000000-0005-0000-0000-0000D4010000}"/>
    <cellStyle name="Followed Hyperlink 2" xfId="460" hidden="1" xr:uid="{00000000-0005-0000-0000-0000D5010000}"/>
    <cellStyle name="Followed Hyperlink 2" xfId="461" hidden="1" xr:uid="{00000000-0005-0000-0000-0000D6010000}"/>
    <cellStyle name="Followed Hyperlink 2" xfId="462" hidden="1" xr:uid="{00000000-0005-0000-0000-0000D7010000}"/>
    <cellStyle name="Followed Hyperlink 2" xfId="463" hidden="1" xr:uid="{00000000-0005-0000-0000-0000D8010000}"/>
    <cellStyle name="Followed Hyperlink 2" xfId="464" hidden="1" xr:uid="{00000000-0005-0000-0000-0000D9010000}"/>
    <cellStyle name="Followed Hyperlink 2" xfId="465" hidden="1" xr:uid="{00000000-0005-0000-0000-0000DA010000}"/>
    <cellStyle name="Followed Hyperlink 2" xfId="466" hidden="1" xr:uid="{00000000-0005-0000-0000-0000DB010000}"/>
    <cellStyle name="Followed Hyperlink 2" xfId="467" hidden="1" xr:uid="{00000000-0005-0000-0000-0000DC010000}"/>
    <cellStyle name="Followed Hyperlink 2" xfId="468" hidden="1" xr:uid="{00000000-0005-0000-0000-0000DD010000}"/>
    <cellStyle name="Followed Hyperlink 2" xfId="469" hidden="1" xr:uid="{00000000-0005-0000-0000-0000DE010000}"/>
    <cellStyle name="Followed Hyperlink 2" xfId="470" hidden="1" xr:uid="{00000000-0005-0000-0000-0000DF010000}"/>
    <cellStyle name="Followed Hyperlink 2" xfId="471" hidden="1" xr:uid="{00000000-0005-0000-0000-0000E0010000}"/>
    <cellStyle name="Followed Hyperlink 2" xfId="472" hidden="1" xr:uid="{00000000-0005-0000-0000-0000E1010000}"/>
    <cellStyle name="Followed Hyperlink 2" xfId="473" hidden="1" xr:uid="{00000000-0005-0000-0000-0000E2010000}"/>
    <cellStyle name="Followed Hyperlink 2" xfId="474" hidden="1" xr:uid="{00000000-0005-0000-0000-0000E3010000}"/>
    <cellStyle name="Followed Hyperlink 2" xfId="475" hidden="1" xr:uid="{00000000-0005-0000-0000-0000E4010000}"/>
    <cellStyle name="Followed Hyperlink 2" xfId="476" hidden="1" xr:uid="{00000000-0005-0000-0000-0000E5010000}"/>
    <cellStyle name="Followed Hyperlink 2" xfId="477" hidden="1" xr:uid="{00000000-0005-0000-0000-0000E6010000}"/>
    <cellStyle name="Followed Hyperlink 2" xfId="478" hidden="1" xr:uid="{00000000-0005-0000-0000-0000E7010000}"/>
    <cellStyle name="Followed Hyperlink 2" xfId="479" hidden="1" xr:uid="{00000000-0005-0000-0000-0000E8010000}"/>
    <cellStyle name="Followed Hyperlink 2" xfId="480" hidden="1" xr:uid="{00000000-0005-0000-0000-0000E9010000}"/>
    <cellStyle name="Followed Hyperlink 2" xfId="481" hidden="1" xr:uid="{00000000-0005-0000-0000-0000EA010000}"/>
    <cellStyle name="Followed Hyperlink 2" xfId="482" hidden="1" xr:uid="{00000000-0005-0000-0000-0000EB010000}"/>
    <cellStyle name="Followed Hyperlink 2" xfId="483" hidden="1" xr:uid="{00000000-0005-0000-0000-0000EC010000}"/>
    <cellStyle name="Followed Hyperlink 2" xfId="484" hidden="1" xr:uid="{00000000-0005-0000-0000-0000ED010000}"/>
    <cellStyle name="Followed Hyperlink 2" xfId="485" hidden="1" xr:uid="{00000000-0005-0000-0000-0000EE010000}"/>
    <cellStyle name="Followed Hyperlink 2" xfId="486" hidden="1" xr:uid="{00000000-0005-0000-0000-0000EF010000}"/>
    <cellStyle name="Followed Hyperlink 2" xfId="487" hidden="1" xr:uid="{00000000-0005-0000-0000-0000F0010000}"/>
    <cellStyle name="Followed Hyperlink 2" xfId="488" hidden="1" xr:uid="{00000000-0005-0000-0000-0000F1010000}"/>
    <cellStyle name="Followed Hyperlink 2" xfId="489" hidden="1" xr:uid="{00000000-0005-0000-0000-0000F2010000}"/>
    <cellStyle name="Followed Hyperlink 2" xfId="490" hidden="1" xr:uid="{00000000-0005-0000-0000-0000F3010000}"/>
    <cellStyle name="Followed Hyperlink 2" xfId="491" hidden="1" xr:uid="{00000000-0005-0000-0000-0000F4010000}"/>
    <cellStyle name="Followed Hyperlink 2" xfId="492" hidden="1" xr:uid="{00000000-0005-0000-0000-0000F5010000}"/>
    <cellStyle name="Followed Hyperlink 2" xfId="493" hidden="1" xr:uid="{00000000-0005-0000-0000-0000F6010000}"/>
    <cellStyle name="Followed Hyperlink 2" xfId="494" hidden="1" xr:uid="{00000000-0005-0000-0000-0000F7010000}"/>
    <cellStyle name="Followed Hyperlink 2" xfId="495" hidden="1" xr:uid="{00000000-0005-0000-0000-0000F8010000}"/>
    <cellStyle name="Followed Hyperlink 2" xfId="496" hidden="1" xr:uid="{00000000-0005-0000-0000-0000F9010000}"/>
    <cellStyle name="Followed Hyperlink 2" xfId="497" hidden="1" xr:uid="{00000000-0005-0000-0000-0000FA010000}"/>
    <cellStyle name="Followed Hyperlink 2" xfId="498" hidden="1" xr:uid="{00000000-0005-0000-0000-0000FB010000}"/>
    <cellStyle name="Followed Hyperlink 2" xfId="499" hidden="1" xr:uid="{00000000-0005-0000-0000-0000FC010000}"/>
    <cellStyle name="Followed Hyperlink 2" xfId="500" hidden="1" xr:uid="{00000000-0005-0000-0000-0000FD010000}"/>
    <cellStyle name="Followed Hyperlink 2" xfId="501" hidden="1" xr:uid="{00000000-0005-0000-0000-0000FE010000}"/>
    <cellStyle name="Followed Hyperlink 2" xfId="502" hidden="1" xr:uid="{00000000-0005-0000-0000-0000FF010000}"/>
    <cellStyle name="Followed Hyperlink 2" xfId="503" hidden="1" xr:uid="{00000000-0005-0000-0000-000000020000}"/>
    <cellStyle name="Followed Hyperlink 2" xfId="504" hidden="1" xr:uid="{00000000-0005-0000-0000-000001020000}"/>
    <cellStyle name="Followed Hyperlink 2" xfId="505" hidden="1" xr:uid="{00000000-0005-0000-0000-000002020000}"/>
    <cellStyle name="Followed Hyperlink 2" xfId="506" hidden="1" xr:uid="{00000000-0005-0000-0000-000003020000}"/>
    <cellStyle name="Followed Hyperlink 2" xfId="507" hidden="1" xr:uid="{00000000-0005-0000-0000-000004020000}"/>
    <cellStyle name="Followed Hyperlink 2" xfId="508" hidden="1" xr:uid="{00000000-0005-0000-0000-000005020000}"/>
    <cellStyle name="Followed Hyperlink 2" xfId="509" hidden="1" xr:uid="{00000000-0005-0000-0000-000006020000}"/>
    <cellStyle name="Followed Hyperlink 2" xfId="510" hidden="1" xr:uid="{00000000-0005-0000-0000-000007020000}"/>
    <cellStyle name="Followed Hyperlink 2" xfId="511" hidden="1" xr:uid="{00000000-0005-0000-0000-000008020000}"/>
    <cellStyle name="Followed Hyperlink 2" xfId="512" hidden="1" xr:uid="{00000000-0005-0000-0000-000009020000}"/>
    <cellStyle name="Followed Hyperlink 2" xfId="513" hidden="1" xr:uid="{00000000-0005-0000-0000-00000A020000}"/>
    <cellStyle name="Followed Hyperlink 2" xfId="514" hidden="1" xr:uid="{00000000-0005-0000-0000-00000B020000}"/>
    <cellStyle name="Followed Hyperlink 2" xfId="515" hidden="1" xr:uid="{00000000-0005-0000-0000-00000C020000}"/>
    <cellStyle name="Followed Hyperlink 2" xfId="516" hidden="1" xr:uid="{00000000-0005-0000-0000-00000D020000}"/>
    <cellStyle name="Followed Hyperlink 2" xfId="517" hidden="1" xr:uid="{00000000-0005-0000-0000-00000E020000}"/>
    <cellStyle name="Followed Hyperlink 2" xfId="518" hidden="1" xr:uid="{00000000-0005-0000-0000-00000F020000}"/>
    <cellStyle name="Followed Hyperlink 2" xfId="519" hidden="1" xr:uid="{00000000-0005-0000-0000-000010020000}"/>
    <cellStyle name="Followed Hyperlink 2" xfId="520" hidden="1" xr:uid="{00000000-0005-0000-0000-000011020000}"/>
    <cellStyle name="Followed Hyperlink 2" xfId="521" hidden="1" xr:uid="{00000000-0005-0000-0000-000012020000}"/>
    <cellStyle name="Followed Hyperlink 2" xfId="522" hidden="1" xr:uid="{00000000-0005-0000-0000-000013020000}"/>
    <cellStyle name="Followed Hyperlink 2" xfId="523" hidden="1" xr:uid="{00000000-0005-0000-0000-000014020000}"/>
    <cellStyle name="Followed Hyperlink 2" xfId="529" hidden="1" xr:uid="{00000000-0005-0000-0000-000015020000}"/>
    <cellStyle name="Followed Hyperlink 2" xfId="530" hidden="1" xr:uid="{00000000-0005-0000-0000-000016020000}"/>
    <cellStyle name="Followed Hyperlink 2" xfId="531" hidden="1" xr:uid="{00000000-0005-0000-0000-000017020000}"/>
    <cellStyle name="Followed Hyperlink 2" xfId="532" hidden="1" xr:uid="{00000000-0005-0000-0000-000018020000}"/>
    <cellStyle name="Followed Hyperlink 2" xfId="533" hidden="1" xr:uid="{00000000-0005-0000-0000-000019020000}"/>
    <cellStyle name="Followed Hyperlink 2" xfId="534" hidden="1" xr:uid="{00000000-0005-0000-0000-00001A020000}"/>
    <cellStyle name="Followed Hyperlink 2" xfId="535" hidden="1" xr:uid="{00000000-0005-0000-0000-00001B020000}"/>
    <cellStyle name="Followed Hyperlink 2" xfId="536" hidden="1" xr:uid="{00000000-0005-0000-0000-00001C020000}"/>
    <cellStyle name="Followed Hyperlink 2" xfId="537" hidden="1" xr:uid="{00000000-0005-0000-0000-00001D020000}"/>
    <cellStyle name="Followed Hyperlink 2" xfId="538" hidden="1" xr:uid="{00000000-0005-0000-0000-00001E020000}"/>
    <cellStyle name="Followed Hyperlink 2" xfId="539" hidden="1" xr:uid="{00000000-0005-0000-0000-00001F020000}"/>
    <cellStyle name="Followed Hyperlink 2" xfId="540" hidden="1" xr:uid="{00000000-0005-0000-0000-000020020000}"/>
    <cellStyle name="Followed Hyperlink 2" xfId="541" hidden="1" xr:uid="{00000000-0005-0000-0000-000021020000}"/>
    <cellStyle name="Followed Hyperlink 2" xfId="542" hidden="1" xr:uid="{00000000-0005-0000-0000-000022020000}"/>
    <cellStyle name="Followed Hyperlink 2" xfId="543" hidden="1" xr:uid="{00000000-0005-0000-0000-000023020000}"/>
    <cellStyle name="Followed Hyperlink 2" xfId="544" hidden="1" xr:uid="{00000000-0005-0000-0000-000024020000}"/>
    <cellStyle name="Followed Hyperlink 2" xfId="545" hidden="1" xr:uid="{00000000-0005-0000-0000-000025020000}"/>
    <cellStyle name="Followed Hyperlink 2" xfId="546" hidden="1" xr:uid="{00000000-0005-0000-0000-000026020000}"/>
    <cellStyle name="Followed Hyperlink 2" xfId="547" hidden="1" xr:uid="{00000000-0005-0000-0000-000027020000}"/>
    <cellStyle name="Followed Hyperlink 2" xfId="548" hidden="1" xr:uid="{00000000-0005-0000-0000-000028020000}"/>
    <cellStyle name="Followed Hyperlink 2" xfId="549" hidden="1" xr:uid="{00000000-0005-0000-0000-000029020000}"/>
    <cellStyle name="Followed Hyperlink 2" xfId="550" hidden="1" xr:uid="{00000000-0005-0000-0000-00002A020000}"/>
    <cellStyle name="Followed Hyperlink 2" xfId="551" hidden="1" xr:uid="{00000000-0005-0000-0000-00002B020000}"/>
    <cellStyle name="Followed Hyperlink 2" xfId="552" hidden="1" xr:uid="{00000000-0005-0000-0000-00002C020000}"/>
    <cellStyle name="Followed Hyperlink 2" xfId="553" hidden="1" xr:uid="{00000000-0005-0000-0000-00002D020000}"/>
    <cellStyle name="Followed Hyperlink 2" xfId="554" hidden="1" xr:uid="{00000000-0005-0000-0000-00002E020000}"/>
    <cellStyle name="Followed Hyperlink 2" xfId="555" hidden="1" xr:uid="{00000000-0005-0000-0000-00002F020000}"/>
    <cellStyle name="Followed Hyperlink 2" xfId="556" hidden="1" xr:uid="{00000000-0005-0000-0000-000030020000}"/>
    <cellStyle name="Followed Hyperlink 2" xfId="557" hidden="1" xr:uid="{00000000-0005-0000-0000-000031020000}"/>
    <cellStyle name="Followed Hyperlink 2" xfId="558" hidden="1" xr:uid="{00000000-0005-0000-0000-000032020000}"/>
    <cellStyle name="Followed Hyperlink 2" xfId="559" hidden="1" xr:uid="{00000000-0005-0000-0000-000033020000}"/>
    <cellStyle name="Followed Hyperlink 2" xfId="560" hidden="1" xr:uid="{00000000-0005-0000-0000-000034020000}"/>
    <cellStyle name="Followed Hyperlink 2" xfId="561" hidden="1" xr:uid="{00000000-0005-0000-0000-000035020000}"/>
    <cellStyle name="Followed Hyperlink 2" xfId="562" hidden="1" xr:uid="{00000000-0005-0000-0000-000036020000}"/>
    <cellStyle name="Followed Hyperlink 2" xfId="563" hidden="1" xr:uid="{00000000-0005-0000-0000-000037020000}"/>
    <cellStyle name="Followed Hyperlink 2" xfId="564" hidden="1" xr:uid="{00000000-0005-0000-0000-000038020000}"/>
    <cellStyle name="Followed Hyperlink 2" xfId="565" hidden="1" xr:uid="{00000000-0005-0000-0000-000039020000}"/>
    <cellStyle name="Followed Hyperlink 2" xfId="566" hidden="1" xr:uid="{00000000-0005-0000-0000-00003A020000}"/>
    <cellStyle name="Followed Hyperlink 2" xfId="567" hidden="1" xr:uid="{00000000-0005-0000-0000-00003B020000}"/>
    <cellStyle name="Followed Hyperlink 2" xfId="568" hidden="1" xr:uid="{00000000-0005-0000-0000-00003C020000}"/>
    <cellStyle name="Followed Hyperlink 2" xfId="569" hidden="1" xr:uid="{00000000-0005-0000-0000-00003D020000}"/>
    <cellStyle name="Followed Hyperlink 2" xfId="570" hidden="1" xr:uid="{00000000-0005-0000-0000-00003E020000}"/>
    <cellStyle name="Followed Hyperlink 2" xfId="571" hidden="1" xr:uid="{00000000-0005-0000-0000-00003F020000}"/>
    <cellStyle name="Followed Hyperlink 2" xfId="572" hidden="1" xr:uid="{00000000-0005-0000-0000-000040020000}"/>
    <cellStyle name="Followed Hyperlink 2" xfId="573" hidden="1" xr:uid="{00000000-0005-0000-0000-000041020000}"/>
    <cellStyle name="Followed Hyperlink 2" xfId="574" hidden="1" xr:uid="{00000000-0005-0000-0000-000042020000}"/>
    <cellStyle name="Followed Hyperlink 2" xfId="575" hidden="1" xr:uid="{00000000-0005-0000-0000-000043020000}"/>
    <cellStyle name="Followed Hyperlink 2" xfId="576" hidden="1" xr:uid="{00000000-0005-0000-0000-000044020000}"/>
    <cellStyle name="Followed Hyperlink 2" xfId="577" hidden="1" xr:uid="{00000000-0005-0000-0000-000045020000}"/>
    <cellStyle name="Followed Hyperlink 2" xfId="578" hidden="1" xr:uid="{00000000-0005-0000-0000-000046020000}"/>
    <cellStyle name="Followed Hyperlink 2" xfId="579" hidden="1" xr:uid="{00000000-0005-0000-0000-000047020000}"/>
    <cellStyle name="Followed Hyperlink 2" xfId="580" hidden="1" xr:uid="{00000000-0005-0000-0000-000048020000}"/>
    <cellStyle name="Followed Hyperlink 2" xfId="581" hidden="1" xr:uid="{00000000-0005-0000-0000-000049020000}"/>
    <cellStyle name="Followed Hyperlink 2" xfId="582" hidden="1" xr:uid="{00000000-0005-0000-0000-00004A020000}"/>
    <cellStyle name="Followed Hyperlink 2" xfId="583" hidden="1" xr:uid="{00000000-0005-0000-0000-00004B020000}"/>
    <cellStyle name="Followed Hyperlink 2" xfId="584" hidden="1" xr:uid="{00000000-0005-0000-0000-00004C020000}"/>
    <cellStyle name="Followed Hyperlink 2" xfId="585" hidden="1" xr:uid="{00000000-0005-0000-0000-00004D020000}"/>
    <cellStyle name="Followed Hyperlink 2" xfId="586" hidden="1" xr:uid="{00000000-0005-0000-0000-00004E020000}"/>
    <cellStyle name="Followed Hyperlink 2" xfId="587" hidden="1" xr:uid="{00000000-0005-0000-0000-00004F020000}"/>
    <cellStyle name="Followed Hyperlink 2" xfId="588" hidden="1" xr:uid="{00000000-0005-0000-0000-000050020000}"/>
    <cellStyle name="Followed Hyperlink 2" xfId="589" hidden="1" xr:uid="{00000000-0005-0000-0000-000051020000}"/>
    <cellStyle name="Followed Hyperlink 2" xfId="590" hidden="1" xr:uid="{00000000-0005-0000-0000-000052020000}"/>
    <cellStyle name="Followed Hyperlink 2" xfId="591" hidden="1" xr:uid="{00000000-0005-0000-0000-000053020000}"/>
    <cellStyle name="Followed Hyperlink 2" xfId="592" hidden="1" xr:uid="{00000000-0005-0000-0000-000054020000}"/>
    <cellStyle name="Followed Hyperlink 2" xfId="593" hidden="1" xr:uid="{00000000-0005-0000-0000-000055020000}"/>
    <cellStyle name="Followed Hyperlink 2" xfId="594" hidden="1" xr:uid="{00000000-0005-0000-0000-000056020000}"/>
    <cellStyle name="Followed Hyperlink 2" xfId="595" hidden="1" xr:uid="{00000000-0005-0000-0000-000057020000}"/>
    <cellStyle name="Followed Hyperlink 2" xfId="596" hidden="1" xr:uid="{00000000-0005-0000-0000-000058020000}"/>
    <cellStyle name="Followed Hyperlink 2" xfId="597" hidden="1" xr:uid="{00000000-0005-0000-0000-000059020000}"/>
    <cellStyle name="Followed Hyperlink 2" xfId="598" hidden="1" xr:uid="{00000000-0005-0000-0000-00005A020000}"/>
    <cellStyle name="Followed Hyperlink 2" xfId="599" hidden="1" xr:uid="{00000000-0005-0000-0000-00005B020000}"/>
    <cellStyle name="Followed Hyperlink 2" xfId="600" hidden="1" xr:uid="{00000000-0005-0000-0000-00005C020000}"/>
    <cellStyle name="Followed Hyperlink 2" xfId="601" hidden="1" xr:uid="{00000000-0005-0000-0000-00005D020000}"/>
    <cellStyle name="Followed Hyperlink 2" xfId="602" hidden="1" xr:uid="{00000000-0005-0000-0000-00005E020000}"/>
    <cellStyle name="Followed Hyperlink 2" xfId="603" hidden="1" xr:uid="{00000000-0005-0000-0000-00005F020000}"/>
    <cellStyle name="Followed Hyperlink 2" xfId="604" hidden="1" xr:uid="{00000000-0005-0000-0000-000060020000}"/>
    <cellStyle name="Followed Hyperlink 2" xfId="605" hidden="1" xr:uid="{00000000-0005-0000-0000-000061020000}"/>
    <cellStyle name="Followed Hyperlink 2" xfId="606" hidden="1" xr:uid="{00000000-0005-0000-0000-000062020000}"/>
    <cellStyle name="Followed Hyperlink 2" xfId="607" hidden="1" xr:uid="{00000000-0005-0000-0000-000063020000}"/>
    <cellStyle name="Followed Hyperlink 2" xfId="608" hidden="1" xr:uid="{00000000-0005-0000-0000-000064020000}"/>
    <cellStyle name="Followed Hyperlink 2" xfId="609" hidden="1" xr:uid="{00000000-0005-0000-0000-000065020000}"/>
    <cellStyle name="Followed Hyperlink 2" xfId="610" hidden="1" xr:uid="{00000000-0005-0000-0000-000066020000}"/>
    <cellStyle name="Followed Hyperlink 2" xfId="611" hidden="1" xr:uid="{00000000-0005-0000-0000-000067020000}"/>
    <cellStyle name="Followed Hyperlink 2" xfId="612" hidden="1" xr:uid="{00000000-0005-0000-0000-000068020000}"/>
    <cellStyle name="Followed Hyperlink 2" xfId="613" hidden="1" xr:uid="{00000000-0005-0000-0000-000069020000}"/>
    <cellStyle name="Followed Hyperlink 2" xfId="614" hidden="1" xr:uid="{00000000-0005-0000-0000-00006A020000}"/>
    <cellStyle name="Followed Hyperlink 2" xfId="615" hidden="1" xr:uid="{00000000-0005-0000-0000-00006B020000}"/>
    <cellStyle name="Followed Hyperlink 2" xfId="616" hidden="1" xr:uid="{00000000-0005-0000-0000-00006C020000}"/>
    <cellStyle name="Followed Hyperlink 2" xfId="617" hidden="1" xr:uid="{00000000-0005-0000-0000-00006D020000}"/>
    <cellStyle name="Followed Hyperlink 2" xfId="618" hidden="1" xr:uid="{00000000-0005-0000-0000-00006E020000}"/>
    <cellStyle name="Followed Hyperlink 2" xfId="619" hidden="1" xr:uid="{00000000-0005-0000-0000-00006F020000}"/>
    <cellStyle name="Followed Hyperlink 2" xfId="620" hidden="1" xr:uid="{00000000-0005-0000-0000-000070020000}"/>
    <cellStyle name="Followed Hyperlink 2" xfId="621" hidden="1" xr:uid="{00000000-0005-0000-0000-000071020000}"/>
    <cellStyle name="Followed Hyperlink 2" xfId="622" hidden="1" xr:uid="{00000000-0005-0000-0000-000072020000}"/>
    <cellStyle name="Followed Hyperlink 2" xfId="623" hidden="1" xr:uid="{00000000-0005-0000-0000-000073020000}"/>
    <cellStyle name="Followed Hyperlink 2" xfId="624" hidden="1" xr:uid="{00000000-0005-0000-0000-000074020000}"/>
    <cellStyle name="Followed Hyperlink 2" xfId="625" hidden="1" xr:uid="{00000000-0005-0000-0000-000075020000}"/>
    <cellStyle name="Followed Hyperlink 2" xfId="626" hidden="1" xr:uid="{00000000-0005-0000-0000-000076020000}"/>
    <cellStyle name="Followed Hyperlink 2" xfId="627" hidden="1" xr:uid="{00000000-0005-0000-0000-000077020000}"/>
    <cellStyle name="Followed Hyperlink 2" xfId="628" hidden="1" xr:uid="{00000000-0005-0000-0000-000078020000}"/>
    <cellStyle name="Followed Hyperlink 2" xfId="629" hidden="1" xr:uid="{00000000-0005-0000-0000-000079020000}"/>
    <cellStyle name="Followed Hyperlink 2" xfId="630" hidden="1" xr:uid="{00000000-0005-0000-0000-00007A020000}"/>
    <cellStyle name="Followed Hyperlink 2" xfId="631" hidden="1" xr:uid="{00000000-0005-0000-0000-00007B020000}"/>
    <cellStyle name="Followed Hyperlink 2" xfId="632" hidden="1" xr:uid="{00000000-0005-0000-0000-00007C020000}"/>
    <cellStyle name="Followed Hyperlink 2" xfId="633" hidden="1" xr:uid="{00000000-0005-0000-0000-00007D020000}"/>
    <cellStyle name="Followed Hyperlink 2" xfId="634" hidden="1" xr:uid="{00000000-0005-0000-0000-00007E020000}"/>
    <cellStyle name="Followed Hyperlink 2" xfId="635" hidden="1" xr:uid="{00000000-0005-0000-0000-00007F020000}"/>
    <cellStyle name="Followed Hyperlink 2" xfId="636" hidden="1" xr:uid="{00000000-0005-0000-0000-000080020000}"/>
    <cellStyle name="Followed Hyperlink 2" xfId="637" hidden="1" xr:uid="{00000000-0005-0000-0000-000081020000}"/>
    <cellStyle name="Followed Hyperlink 2" xfId="638" hidden="1" xr:uid="{00000000-0005-0000-0000-000082020000}"/>
    <cellStyle name="Followed Hyperlink 2" xfId="639" hidden="1" xr:uid="{00000000-0005-0000-0000-000083020000}"/>
    <cellStyle name="Followed Hyperlink 2" xfId="640" hidden="1" xr:uid="{00000000-0005-0000-0000-000084020000}"/>
    <cellStyle name="Followed Hyperlink 2" xfId="641" hidden="1" xr:uid="{00000000-0005-0000-0000-000085020000}"/>
    <cellStyle name="Followed Hyperlink 2" xfId="642" hidden="1" xr:uid="{00000000-0005-0000-0000-000086020000}"/>
    <cellStyle name="Followed Hyperlink 2" xfId="643" hidden="1" xr:uid="{00000000-0005-0000-0000-000087020000}"/>
    <cellStyle name="Followed Hyperlink 2" xfId="644" hidden="1" xr:uid="{00000000-0005-0000-0000-000088020000}"/>
    <cellStyle name="Followed Hyperlink 2" xfId="645" hidden="1" xr:uid="{00000000-0005-0000-0000-000089020000}"/>
    <cellStyle name="Followed Hyperlink 2" xfId="646" hidden="1" xr:uid="{00000000-0005-0000-0000-00008A020000}"/>
    <cellStyle name="Followed Hyperlink 2" xfId="647" hidden="1" xr:uid="{00000000-0005-0000-0000-00008B020000}"/>
    <cellStyle name="Followed Hyperlink 2" xfId="648" hidden="1" xr:uid="{00000000-0005-0000-0000-00008C020000}"/>
    <cellStyle name="Followed Hyperlink 2" xfId="649" hidden="1" xr:uid="{00000000-0005-0000-0000-00008D020000}"/>
    <cellStyle name="Followed Hyperlink 2" xfId="650" hidden="1" xr:uid="{00000000-0005-0000-0000-00008E020000}"/>
    <cellStyle name="Followed Hyperlink 2" xfId="651" hidden="1" xr:uid="{00000000-0005-0000-0000-00008F020000}"/>
    <cellStyle name="Followed Hyperlink 2" xfId="652" hidden="1" xr:uid="{00000000-0005-0000-0000-000090020000}"/>
    <cellStyle name="Followed Hyperlink 2" xfId="653" hidden="1" xr:uid="{00000000-0005-0000-0000-000091020000}"/>
    <cellStyle name="Followed Hyperlink 2" xfId="654" hidden="1" xr:uid="{00000000-0005-0000-0000-000092020000}"/>
    <cellStyle name="Followed Hyperlink 2" xfId="655" hidden="1" xr:uid="{00000000-0005-0000-0000-000093020000}"/>
    <cellStyle name="Followed Hyperlink 2" xfId="656" hidden="1" xr:uid="{00000000-0005-0000-0000-000094020000}"/>
    <cellStyle name="Followed Hyperlink 2" xfId="657" hidden="1" xr:uid="{00000000-0005-0000-0000-000095020000}"/>
    <cellStyle name="Followed Hyperlink 2" xfId="658" hidden="1" xr:uid="{00000000-0005-0000-0000-000096020000}"/>
    <cellStyle name="Followed Hyperlink 2" xfId="659" hidden="1" xr:uid="{00000000-0005-0000-0000-000097020000}"/>
    <cellStyle name="Followed Hyperlink 2" xfId="660" hidden="1" xr:uid="{00000000-0005-0000-0000-000098020000}"/>
    <cellStyle name="Followed Hyperlink 2" xfId="661" hidden="1" xr:uid="{00000000-0005-0000-0000-000099020000}"/>
    <cellStyle name="Followed Hyperlink 2" xfId="662" hidden="1" xr:uid="{00000000-0005-0000-0000-00009A020000}"/>
    <cellStyle name="Followed Hyperlink 2" xfId="663" hidden="1" xr:uid="{00000000-0005-0000-0000-00009B020000}"/>
    <cellStyle name="Followed Hyperlink 2" xfId="664" hidden="1" xr:uid="{00000000-0005-0000-0000-00009C020000}"/>
    <cellStyle name="Followed Hyperlink 2" xfId="665" hidden="1" xr:uid="{00000000-0005-0000-0000-00009D020000}"/>
    <cellStyle name="Followed Hyperlink 2" xfId="666" hidden="1" xr:uid="{00000000-0005-0000-0000-00009E020000}"/>
    <cellStyle name="Followed Hyperlink 2" xfId="667" hidden="1" xr:uid="{00000000-0005-0000-0000-00009F020000}"/>
    <cellStyle name="Followed Hyperlink 2" xfId="668" hidden="1" xr:uid="{00000000-0005-0000-0000-0000A0020000}"/>
    <cellStyle name="Followed Hyperlink 2" xfId="669" hidden="1" xr:uid="{00000000-0005-0000-0000-0000A1020000}"/>
    <cellStyle name="Followed Hyperlink 2" xfId="670" hidden="1" xr:uid="{00000000-0005-0000-0000-0000A2020000}"/>
    <cellStyle name="Followed Hyperlink 2" xfId="671" hidden="1" xr:uid="{00000000-0005-0000-0000-0000A3020000}"/>
    <cellStyle name="Followed Hyperlink 2" xfId="672" hidden="1" xr:uid="{00000000-0005-0000-0000-0000A4020000}"/>
    <cellStyle name="Followed Hyperlink 2" xfId="673" hidden="1" xr:uid="{00000000-0005-0000-0000-0000A5020000}"/>
    <cellStyle name="Followed Hyperlink 2" xfId="674" hidden="1" xr:uid="{00000000-0005-0000-0000-0000A6020000}"/>
    <cellStyle name="Followed Hyperlink 2" xfId="675" hidden="1" xr:uid="{00000000-0005-0000-0000-0000A7020000}"/>
    <cellStyle name="Followed Hyperlink 2" xfId="676" hidden="1" xr:uid="{00000000-0005-0000-0000-0000A8020000}"/>
    <cellStyle name="Followed Hyperlink 2" xfId="677" hidden="1" xr:uid="{00000000-0005-0000-0000-0000A9020000}"/>
    <cellStyle name="Followed Hyperlink 2" xfId="678" hidden="1" xr:uid="{00000000-0005-0000-0000-0000AA020000}"/>
    <cellStyle name="Followed Hyperlink 2" xfId="679" hidden="1" xr:uid="{00000000-0005-0000-0000-0000AB020000}"/>
    <cellStyle name="Followed Hyperlink 2" xfId="680" hidden="1" xr:uid="{00000000-0005-0000-0000-0000AC020000}"/>
    <cellStyle name="Followed Hyperlink 2" xfId="681" hidden="1" xr:uid="{00000000-0005-0000-0000-0000AD020000}"/>
    <cellStyle name="Followed Hyperlink 2" xfId="682" hidden="1" xr:uid="{00000000-0005-0000-0000-0000AE020000}"/>
    <cellStyle name="Followed Hyperlink 2" xfId="683" hidden="1" xr:uid="{00000000-0005-0000-0000-0000AF020000}"/>
    <cellStyle name="Followed Hyperlink 2" xfId="684" hidden="1" xr:uid="{00000000-0005-0000-0000-0000B0020000}"/>
    <cellStyle name="Followed Hyperlink 2" xfId="685" hidden="1" xr:uid="{00000000-0005-0000-0000-0000B1020000}"/>
    <cellStyle name="Followed Hyperlink 2" xfId="686" hidden="1" xr:uid="{00000000-0005-0000-0000-0000B2020000}"/>
    <cellStyle name="Followed Hyperlink 2" xfId="687" hidden="1" xr:uid="{00000000-0005-0000-0000-0000B3020000}"/>
    <cellStyle name="Followed Hyperlink 2" xfId="688" hidden="1" xr:uid="{00000000-0005-0000-0000-0000B4020000}"/>
    <cellStyle name="Followed Hyperlink 2" xfId="689" hidden="1" xr:uid="{00000000-0005-0000-0000-0000B5020000}"/>
    <cellStyle name="Followed Hyperlink 2" xfId="690" hidden="1" xr:uid="{00000000-0005-0000-0000-0000B6020000}"/>
    <cellStyle name="Followed Hyperlink 2" xfId="691" hidden="1" xr:uid="{00000000-0005-0000-0000-0000B7020000}"/>
    <cellStyle name="Followed Hyperlink 2" xfId="692" hidden="1" xr:uid="{00000000-0005-0000-0000-0000B8020000}"/>
    <cellStyle name="Followed Hyperlink 2" xfId="693" hidden="1" xr:uid="{00000000-0005-0000-0000-0000B9020000}"/>
    <cellStyle name="Followed Hyperlink 2" xfId="694" hidden="1" xr:uid="{00000000-0005-0000-0000-0000BA020000}"/>
    <cellStyle name="Followed Hyperlink 2" xfId="695" hidden="1" xr:uid="{00000000-0005-0000-0000-0000BB020000}"/>
    <cellStyle name="Followed Hyperlink 2" xfId="696" hidden="1" xr:uid="{00000000-0005-0000-0000-0000BC020000}"/>
    <cellStyle name="Followed Hyperlink 2" xfId="697" hidden="1" xr:uid="{00000000-0005-0000-0000-0000BD020000}"/>
    <cellStyle name="Followed Hyperlink 2" xfId="698" hidden="1" xr:uid="{00000000-0005-0000-0000-0000BE020000}"/>
    <cellStyle name="Followed Hyperlink 2" xfId="699" hidden="1" xr:uid="{00000000-0005-0000-0000-0000BF020000}"/>
    <cellStyle name="Followed Hyperlink 2" xfId="700" hidden="1" xr:uid="{00000000-0005-0000-0000-0000C0020000}"/>
    <cellStyle name="Followed Hyperlink 2" xfId="701" hidden="1" xr:uid="{00000000-0005-0000-0000-0000C1020000}"/>
    <cellStyle name="Followed Hyperlink 2" xfId="702" hidden="1" xr:uid="{00000000-0005-0000-0000-0000C2020000}"/>
    <cellStyle name="Followed Hyperlink 2" xfId="703" hidden="1" xr:uid="{00000000-0005-0000-0000-0000C3020000}"/>
    <cellStyle name="Followed Hyperlink 2" xfId="704" hidden="1" xr:uid="{00000000-0005-0000-0000-0000C4020000}"/>
    <cellStyle name="Followed Hyperlink 2" xfId="705" hidden="1" xr:uid="{00000000-0005-0000-0000-0000C5020000}"/>
    <cellStyle name="Followed Hyperlink 2" xfId="706" hidden="1" xr:uid="{00000000-0005-0000-0000-0000C6020000}"/>
    <cellStyle name="Followed Hyperlink 2" xfId="707" hidden="1" xr:uid="{00000000-0005-0000-0000-0000C7020000}"/>
    <cellStyle name="Followed Hyperlink 2" xfId="708" hidden="1" xr:uid="{00000000-0005-0000-0000-0000C8020000}"/>
    <cellStyle name="Followed Hyperlink 2" xfId="709" hidden="1" xr:uid="{00000000-0005-0000-0000-0000C9020000}"/>
    <cellStyle name="Followed Hyperlink 2" xfId="710" hidden="1" xr:uid="{00000000-0005-0000-0000-0000CA020000}"/>
    <cellStyle name="Followed Hyperlink 2" xfId="711" hidden="1" xr:uid="{00000000-0005-0000-0000-0000CB020000}"/>
    <cellStyle name="Followed Hyperlink 2" xfId="712" hidden="1" xr:uid="{00000000-0005-0000-0000-0000CC020000}"/>
    <cellStyle name="Followed Hyperlink 2" xfId="713" hidden="1" xr:uid="{00000000-0005-0000-0000-0000CD020000}"/>
    <cellStyle name="Followed Hyperlink 2" xfId="714" hidden="1" xr:uid="{00000000-0005-0000-0000-0000CE020000}"/>
    <cellStyle name="Followed Hyperlink 2" xfId="715" hidden="1" xr:uid="{00000000-0005-0000-0000-0000CF020000}"/>
    <cellStyle name="Followed Hyperlink 2" xfId="716" hidden="1" xr:uid="{00000000-0005-0000-0000-0000D0020000}"/>
    <cellStyle name="Followed Hyperlink 2" xfId="717" hidden="1" xr:uid="{00000000-0005-0000-0000-0000D1020000}"/>
    <cellStyle name="Followed Hyperlink 2" xfId="718" hidden="1" xr:uid="{00000000-0005-0000-0000-0000D2020000}"/>
    <cellStyle name="Followed Hyperlink 2" xfId="719" hidden="1" xr:uid="{00000000-0005-0000-0000-0000D3020000}"/>
    <cellStyle name="Followed Hyperlink 2" xfId="720" hidden="1" xr:uid="{00000000-0005-0000-0000-0000D4020000}"/>
    <cellStyle name="Followed Hyperlink 2" xfId="721" hidden="1" xr:uid="{00000000-0005-0000-0000-0000D5020000}"/>
    <cellStyle name="Followed Hyperlink 2" xfId="722" hidden="1" xr:uid="{00000000-0005-0000-0000-0000D6020000}"/>
    <cellStyle name="Followed Hyperlink 2" xfId="723" hidden="1" xr:uid="{00000000-0005-0000-0000-0000D7020000}"/>
    <cellStyle name="Followed Hyperlink 2" xfId="724" hidden="1" xr:uid="{00000000-0005-0000-0000-0000D8020000}"/>
    <cellStyle name="Followed Hyperlink 2" xfId="725" hidden="1" xr:uid="{00000000-0005-0000-0000-0000D9020000}"/>
    <cellStyle name="Followed Hyperlink 2" xfId="726" hidden="1" xr:uid="{00000000-0005-0000-0000-0000DA020000}"/>
    <cellStyle name="Followed Hyperlink 2" xfId="727" hidden="1" xr:uid="{00000000-0005-0000-0000-0000DB020000}"/>
    <cellStyle name="Followed Hyperlink 2" xfId="728" hidden="1" xr:uid="{00000000-0005-0000-0000-0000DC020000}"/>
    <cellStyle name="Followed Hyperlink 2" xfId="729" hidden="1" xr:uid="{00000000-0005-0000-0000-0000DD020000}"/>
    <cellStyle name="Followed Hyperlink 2" xfId="730" hidden="1" xr:uid="{00000000-0005-0000-0000-0000DE020000}"/>
    <cellStyle name="Followed Hyperlink 2" xfId="731" hidden="1" xr:uid="{00000000-0005-0000-0000-0000DF020000}"/>
    <cellStyle name="Followed Hyperlink 2" xfId="732" hidden="1" xr:uid="{00000000-0005-0000-0000-0000E0020000}"/>
    <cellStyle name="Followed Hyperlink 2" xfId="733" hidden="1" xr:uid="{00000000-0005-0000-0000-0000E1020000}"/>
    <cellStyle name="Followed Hyperlink 2" xfId="734" hidden="1" xr:uid="{00000000-0005-0000-0000-0000E2020000}"/>
    <cellStyle name="Followed Hyperlink 2" xfId="735" hidden="1" xr:uid="{00000000-0005-0000-0000-0000E3020000}"/>
    <cellStyle name="Followed Hyperlink 2" xfId="736" hidden="1" xr:uid="{00000000-0005-0000-0000-0000E4020000}"/>
    <cellStyle name="Followed Hyperlink 2" xfId="737" hidden="1" xr:uid="{00000000-0005-0000-0000-0000E5020000}"/>
    <cellStyle name="Followed Hyperlink 2" xfId="738" hidden="1" xr:uid="{00000000-0005-0000-0000-0000E6020000}"/>
    <cellStyle name="Followed Hyperlink 2" xfId="739" hidden="1" xr:uid="{00000000-0005-0000-0000-0000E7020000}"/>
    <cellStyle name="Followed Hyperlink 2" xfId="740" hidden="1" xr:uid="{00000000-0005-0000-0000-0000E8020000}"/>
    <cellStyle name="Followed Hyperlink 2" xfId="741" hidden="1" xr:uid="{00000000-0005-0000-0000-0000E9020000}"/>
    <cellStyle name="Followed Hyperlink 2" xfId="742" hidden="1" xr:uid="{00000000-0005-0000-0000-0000EA020000}"/>
    <cellStyle name="Followed Hyperlink 2" xfId="743" hidden="1" xr:uid="{00000000-0005-0000-0000-0000EB020000}"/>
    <cellStyle name="Followed Hyperlink 2" xfId="744" hidden="1" xr:uid="{00000000-0005-0000-0000-0000EC020000}"/>
    <cellStyle name="Followed Hyperlink 2" xfId="745" hidden="1" xr:uid="{00000000-0005-0000-0000-0000ED020000}"/>
    <cellStyle name="Followed Hyperlink 2" xfId="746" hidden="1" xr:uid="{00000000-0005-0000-0000-0000EE020000}"/>
    <cellStyle name="Followed Hyperlink 2" xfId="747" hidden="1" xr:uid="{00000000-0005-0000-0000-0000EF020000}"/>
    <cellStyle name="Followed Hyperlink 2" xfId="748" hidden="1" xr:uid="{00000000-0005-0000-0000-0000F0020000}"/>
    <cellStyle name="Followed Hyperlink 2" xfId="749" hidden="1" xr:uid="{00000000-0005-0000-0000-0000F1020000}"/>
    <cellStyle name="Followed Hyperlink 2" xfId="750" hidden="1" xr:uid="{00000000-0005-0000-0000-0000F2020000}"/>
    <cellStyle name="Followed Hyperlink 2" xfId="751" hidden="1" xr:uid="{00000000-0005-0000-0000-0000F3020000}"/>
    <cellStyle name="Followed Hyperlink 2" xfId="752" hidden="1" xr:uid="{00000000-0005-0000-0000-0000F4020000}"/>
    <cellStyle name="Followed Hyperlink 2" xfId="753" hidden="1" xr:uid="{00000000-0005-0000-0000-0000F5020000}"/>
    <cellStyle name="Followed Hyperlink 2" xfId="754" hidden="1" xr:uid="{00000000-0005-0000-0000-0000F6020000}"/>
    <cellStyle name="Followed Hyperlink 2" xfId="755" hidden="1" xr:uid="{00000000-0005-0000-0000-0000F7020000}"/>
    <cellStyle name="Followed Hyperlink 2" xfId="756" hidden="1" xr:uid="{00000000-0005-0000-0000-0000F8020000}"/>
    <cellStyle name="Followed Hyperlink 2" xfId="757" hidden="1" xr:uid="{00000000-0005-0000-0000-0000F9020000}"/>
    <cellStyle name="Followed Hyperlink 2" xfId="758" hidden="1" xr:uid="{00000000-0005-0000-0000-0000FA020000}"/>
    <cellStyle name="Followed Hyperlink 2" xfId="759" hidden="1" xr:uid="{00000000-0005-0000-0000-0000FB020000}"/>
    <cellStyle name="Followed Hyperlink 2" xfId="760" hidden="1" xr:uid="{00000000-0005-0000-0000-0000FC020000}"/>
    <cellStyle name="Followed Hyperlink 2" xfId="761" hidden="1" xr:uid="{00000000-0005-0000-0000-0000FD020000}"/>
    <cellStyle name="Followed Hyperlink 2" xfId="762" hidden="1" xr:uid="{00000000-0005-0000-0000-0000FE020000}"/>
    <cellStyle name="Followed Hyperlink 2" xfId="763" hidden="1" xr:uid="{00000000-0005-0000-0000-0000FF020000}"/>
    <cellStyle name="Followed Hyperlink 2" xfId="764" hidden="1" xr:uid="{00000000-0005-0000-0000-000000030000}"/>
    <cellStyle name="Followed Hyperlink 2" xfId="765" hidden="1" xr:uid="{00000000-0005-0000-0000-000001030000}"/>
    <cellStyle name="Followed Hyperlink 2" xfId="766" hidden="1" xr:uid="{00000000-0005-0000-0000-000002030000}"/>
    <cellStyle name="Followed Hyperlink 2" xfId="767" hidden="1" xr:uid="{00000000-0005-0000-0000-000003030000}"/>
    <cellStyle name="Followed Hyperlink 2" xfId="768" hidden="1" xr:uid="{00000000-0005-0000-0000-000004030000}"/>
    <cellStyle name="Followed Hyperlink 2" xfId="769" hidden="1" xr:uid="{00000000-0005-0000-0000-000005030000}"/>
    <cellStyle name="Followed Hyperlink 2" xfId="770" hidden="1" xr:uid="{00000000-0005-0000-0000-000006030000}"/>
    <cellStyle name="Followed Hyperlink 2" xfId="771" hidden="1" xr:uid="{00000000-0005-0000-0000-000007030000}"/>
    <cellStyle name="Followed Hyperlink 2" xfId="772" hidden="1" xr:uid="{00000000-0005-0000-0000-000008030000}"/>
    <cellStyle name="Followed Hyperlink 2" xfId="773" hidden="1" xr:uid="{00000000-0005-0000-0000-000009030000}"/>
    <cellStyle name="Followed Hyperlink 2" xfId="774" hidden="1" xr:uid="{00000000-0005-0000-0000-00000A030000}"/>
    <cellStyle name="Followed Hyperlink 2" xfId="775" hidden="1" xr:uid="{00000000-0005-0000-0000-00000B030000}"/>
    <cellStyle name="Followed Hyperlink 2" xfId="776" hidden="1" xr:uid="{00000000-0005-0000-0000-00000C030000}"/>
    <cellStyle name="Followed Hyperlink 2" xfId="777" hidden="1" xr:uid="{00000000-0005-0000-0000-00000D030000}"/>
    <cellStyle name="Followed Hyperlink 2" xfId="778" hidden="1" xr:uid="{00000000-0005-0000-0000-00000E030000}"/>
    <cellStyle name="Followed Hyperlink 2" xfId="779" hidden="1" xr:uid="{00000000-0005-0000-0000-00000F030000}"/>
    <cellStyle name="Followed Hyperlink 2" xfId="780" hidden="1" xr:uid="{00000000-0005-0000-0000-000010030000}"/>
    <cellStyle name="Followed Hyperlink 2" xfId="781" hidden="1" xr:uid="{00000000-0005-0000-0000-000011030000}"/>
    <cellStyle name="Followed Hyperlink 2" xfId="782" hidden="1" xr:uid="{00000000-0005-0000-0000-000012030000}"/>
    <cellStyle name="Followed Hyperlink 2" xfId="783" hidden="1" xr:uid="{00000000-0005-0000-0000-000013030000}"/>
    <cellStyle name="Followed Hyperlink 2" xfId="784" hidden="1" xr:uid="{00000000-0005-0000-0000-000014030000}"/>
    <cellStyle name="Followed Hyperlink 2" xfId="785" hidden="1" xr:uid="{00000000-0005-0000-0000-000015030000}"/>
    <cellStyle name="Followed Hyperlink 2" xfId="786" hidden="1" xr:uid="{00000000-0005-0000-0000-000016030000}"/>
    <cellStyle name="Followed Hyperlink 2" xfId="787" hidden="1" xr:uid="{00000000-0005-0000-0000-000017030000}"/>
    <cellStyle name="Followed Hyperlink 2" xfId="788" hidden="1" xr:uid="{00000000-0005-0000-0000-000018030000}"/>
    <cellStyle name="Followed Hyperlink 2" xfId="789" hidden="1" xr:uid="{00000000-0005-0000-0000-000019030000}"/>
    <cellStyle name="Followed Hyperlink 2" xfId="790" hidden="1" xr:uid="{00000000-0005-0000-0000-00001A030000}"/>
    <cellStyle name="Followed Hyperlink 2" xfId="791" hidden="1" xr:uid="{00000000-0005-0000-0000-00001B030000}"/>
    <cellStyle name="Followed Hyperlink 2" xfId="792" hidden="1" xr:uid="{00000000-0005-0000-0000-00001C030000}"/>
    <cellStyle name="Followed Hyperlink 2" xfId="793" hidden="1" xr:uid="{00000000-0005-0000-0000-00001D030000}"/>
    <cellStyle name="Followed Hyperlink 2" xfId="794" hidden="1" xr:uid="{00000000-0005-0000-0000-00001E030000}"/>
    <cellStyle name="Followed Hyperlink 2" xfId="795" hidden="1" xr:uid="{00000000-0005-0000-0000-00001F030000}"/>
    <cellStyle name="Followed Hyperlink 2" xfId="796" hidden="1" xr:uid="{00000000-0005-0000-0000-000020030000}"/>
    <cellStyle name="Followed Hyperlink 2" xfId="797" hidden="1" xr:uid="{00000000-0005-0000-0000-000021030000}"/>
    <cellStyle name="Followed Hyperlink 2" xfId="798" hidden="1" xr:uid="{00000000-0005-0000-0000-000022030000}"/>
    <cellStyle name="Followed Hyperlink 2" xfId="799" hidden="1" xr:uid="{00000000-0005-0000-0000-000023030000}"/>
    <cellStyle name="Followed Hyperlink 2" xfId="800" hidden="1" xr:uid="{00000000-0005-0000-0000-000024030000}"/>
    <cellStyle name="Followed Hyperlink 2" xfId="801" hidden="1" xr:uid="{00000000-0005-0000-0000-000025030000}"/>
    <cellStyle name="Followed Hyperlink 2" xfId="802" hidden="1" xr:uid="{00000000-0005-0000-0000-000026030000}"/>
    <cellStyle name="Followed Hyperlink 2" xfId="803" hidden="1" xr:uid="{00000000-0005-0000-0000-000027030000}"/>
    <cellStyle name="Followed Hyperlink 2" xfId="804" hidden="1" xr:uid="{00000000-0005-0000-0000-000028030000}"/>
    <cellStyle name="Followed Hyperlink 2" xfId="805" hidden="1" xr:uid="{00000000-0005-0000-0000-000029030000}"/>
    <cellStyle name="Followed Hyperlink 2" xfId="806" hidden="1" xr:uid="{00000000-0005-0000-0000-00002A030000}"/>
    <cellStyle name="Followed Hyperlink 2" xfId="807" hidden="1" xr:uid="{00000000-0005-0000-0000-00002B030000}"/>
    <cellStyle name="Followed Hyperlink 2" xfId="808" hidden="1" xr:uid="{00000000-0005-0000-0000-00002C030000}"/>
    <cellStyle name="Followed Hyperlink 2" xfId="809" hidden="1" xr:uid="{00000000-0005-0000-0000-00002D030000}"/>
    <cellStyle name="Followed Hyperlink 2" xfId="810" hidden="1" xr:uid="{00000000-0005-0000-0000-00002E030000}"/>
    <cellStyle name="Followed Hyperlink 2" xfId="811" hidden="1" xr:uid="{00000000-0005-0000-0000-00002F030000}"/>
    <cellStyle name="Followed Hyperlink 2" xfId="812" hidden="1" xr:uid="{00000000-0005-0000-0000-000030030000}"/>
    <cellStyle name="Followed Hyperlink 2" xfId="813" hidden="1" xr:uid="{00000000-0005-0000-0000-000031030000}"/>
    <cellStyle name="Followed Hyperlink 2" xfId="814" hidden="1" xr:uid="{00000000-0005-0000-0000-000032030000}"/>
    <cellStyle name="Followed Hyperlink 2" xfId="815" hidden="1" xr:uid="{00000000-0005-0000-0000-000033030000}"/>
    <cellStyle name="Followed Hyperlink 2" xfId="816" hidden="1" xr:uid="{00000000-0005-0000-0000-000034030000}"/>
    <cellStyle name="Followed Hyperlink 2" xfId="817" hidden="1" xr:uid="{00000000-0005-0000-0000-000035030000}"/>
    <cellStyle name="Followed Hyperlink 2" xfId="818" hidden="1" xr:uid="{00000000-0005-0000-0000-000036030000}"/>
    <cellStyle name="Followed Hyperlink 2" xfId="819" hidden="1" xr:uid="{00000000-0005-0000-0000-000037030000}"/>
    <cellStyle name="Followed Hyperlink 2" xfId="820" hidden="1" xr:uid="{00000000-0005-0000-0000-000038030000}"/>
    <cellStyle name="Followed Hyperlink 2" xfId="821" hidden="1" xr:uid="{00000000-0005-0000-0000-000039030000}"/>
    <cellStyle name="Followed Hyperlink 2" xfId="822" hidden="1" xr:uid="{00000000-0005-0000-0000-00003A030000}"/>
    <cellStyle name="Followed Hyperlink 2" xfId="823" hidden="1" xr:uid="{00000000-0005-0000-0000-00003B030000}"/>
    <cellStyle name="Followed Hyperlink 2" xfId="824" hidden="1" xr:uid="{00000000-0005-0000-0000-00003C030000}"/>
    <cellStyle name="Followed Hyperlink 2" xfId="825" hidden="1" xr:uid="{00000000-0005-0000-0000-00003D030000}"/>
    <cellStyle name="Followed Hyperlink 2" xfId="826" hidden="1" xr:uid="{00000000-0005-0000-0000-00003E030000}"/>
    <cellStyle name="Followed Hyperlink 2" xfId="827" hidden="1" xr:uid="{00000000-0005-0000-0000-00003F030000}"/>
    <cellStyle name="Followed Hyperlink 2" xfId="828" hidden="1" xr:uid="{00000000-0005-0000-0000-000040030000}"/>
    <cellStyle name="Followed Hyperlink 2" xfId="829" hidden="1" xr:uid="{00000000-0005-0000-0000-000041030000}"/>
    <cellStyle name="Followed Hyperlink 2" xfId="830" hidden="1" xr:uid="{00000000-0005-0000-0000-000042030000}"/>
    <cellStyle name="Followed Hyperlink 2" xfId="831" hidden="1" xr:uid="{00000000-0005-0000-0000-000043030000}"/>
    <cellStyle name="Followed Hyperlink 2" xfId="832" hidden="1" xr:uid="{00000000-0005-0000-0000-000044030000}"/>
    <cellStyle name="Followed Hyperlink 2" xfId="833" hidden="1" xr:uid="{00000000-0005-0000-0000-000045030000}"/>
    <cellStyle name="Followed Hyperlink 2" xfId="834" hidden="1" xr:uid="{00000000-0005-0000-0000-000046030000}"/>
    <cellStyle name="Followed Hyperlink 2" xfId="835" hidden="1" xr:uid="{00000000-0005-0000-0000-000047030000}"/>
    <cellStyle name="Followed Hyperlink 2" xfId="836" hidden="1" xr:uid="{00000000-0005-0000-0000-000048030000}"/>
    <cellStyle name="Followed Hyperlink 2" xfId="837" hidden="1" xr:uid="{00000000-0005-0000-0000-000049030000}"/>
    <cellStyle name="Followed Hyperlink 2" xfId="838" hidden="1" xr:uid="{00000000-0005-0000-0000-00004A030000}"/>
    <cellStyle name="Followed Hyperlink 2" xfId="839" hidden="1" xr:uid="{00000000-0005-0000-0000-00004B030000}"/>
    <cellStyle name="Followed Hyperlink 2" xfId="840" hidden="1" xr:uid="{00000000-0005-0000-0000-00004C030000}"/>
    <cellStyle name="Followed Hyperlink 2" xfId="841" hidden="1" xr:uid="{00000000-0005-0000-0000-00004D030000}"/>
    <cellStyle name="Followed Hyperlink 2" xfId="842" hidden="1" xr:uid="{00000000-0005-0000-0000-00004E030000}"/>
    <cellStyle name="Followed Hyperlink 2" xfId="843" hidden="1" xr:uid="{00000000-0005-0000-0000-00004F030000}"/>
    <cellStyle name="Followed Hyperlink 2" xfId="844" hidden="1" xr:uid="{00000000-0005-0000-0000-000050030000}"/>
    <cellStyle name="Followed Hyperlink 2" xfId="845" hidden="1" xr:uid="{00000000-0005-0000-0000-000051030000}"/>
    <cellStyle name="Followed Hyperlink 2" xfId="846" hidden="1" xr:uid="{00000000-0005-0000-0000-000052030000}"/>
    <cellStyle name="Followed Hyperlink 2" xfId="847" hidden="1" xr:uid="{00000000-0005-0000-0000-000053030000}"/>
    <cellStyle name="Followed Hyperlink 2" xfId="848" hidden="1" xr:uid="{00000000-0005-0000-0000-000054030000}"/>
    <cellStyle name="Followed Hyperlink 2" xfId="849" hidden="1" xr:uid="{00000000-0005-0000-0000-000055030000}"/>
    <cellStyle name="Followed Hyperlink 2" xfId="850" hidden="1" xr:uid="{00000000-0005-0000-0000-000056030000}"/>
    <cellStyle name="Followed Hyperlink 2" xfId="851" hidden="1" xr:uid="{00000000-0005-0000-0000-000057030000}"/>
    <cellStyle name="Followed Hyperlink 2" xfId="852" hidden="1" xr:uid="{00000000-0005-0000-0000-000058030000}"/>
    <cellStyle name="Followed Hyperlink 2" xfId="853" hidden="1" xr:uid="{00000000-0005-0000-0000-000059030000}"/>
    <cellStyle name="Followed Hyperlink 2" xfId="854" hidden="1" xr:uid="{00000000-0005-0000-0000-00005A030000}"/>
    <cellStyle name="Followed Hyperlink 2" xfId="855" hidden="1" xr:uid="{00000000-0005-0000-0000-00005B030000}"/>
    <cellStyle name="Followed Hyperlink 2" xfId="856" hidden="1" xr:uid="{00000000-0005-0000-0000-00005C030000}"/>
    <cellStyle name="Followed Hyperlink 2" xfId="857" hidden="1" xr:uid="{00000000-0005-0000-0000-00005D030000}"/>
    <cellStyle name="Followed Hyperlink 2" xfId="858" hidden="1" xr:uid="{00000000-0005-0000-0000-00005E030000}"/>
    <cellStyle name="Followed Hyperlink 2" xfId="859" hidden="1" xr:uid="{00000000-0005-0000-0000-00005F030000}"/>
    <cellStyle name="Followed Hyperlink 2" xfId="860" hidden="1" xr:uid="{00000000-0005-0000-0000-000060030000}"/>
    <cellStyle name="Followed Hyperlink 2" xfId="861" hidden="1" xr:uid="{00000000-0005-0000-0000-000061030000}"/>
    <cellStyle name="Followed Hyperlink 2" xfId="862" hidden="1" xr:uid="{00000000-0005-0000-0000-000062030000}"/>
    <cellStyle name="Followed Hyperlink 2" xfId="863" hidden="1" xr:uid="{00000000-0005-0000-0000-000063030000}"/>
    <cellStyle name="Followed Hyperlink 2" xfId="864" hidden="1" xr:uid="{00000000-0005-0000-0000-000064030000}"/>
    <cellStyle name="Followed Hyperlink 2" xfId="865" hidden="1" xr:uid="{00000000-0005-0000-0000-000065030000}"/>
    <cellStyle name="Followed Hyperlink 2" xfId="866" hidden="1" xr:uid="{00000000-0005-0000-0000-000066030000}"/>
    <cellStyle name="Followed Hyperlink 2" xfId="867" hidden="1" xr:uid="{00000000-0005-0000-0000-000067030000}"/>
    <cellStyle name="Followed Hyperlink 2" xfId="868" hidden="1" xr:uid="{00000000-0005-0000-0000-000068030000}"/>
    <cellStyle name="Followed Hyperlink 2" xfId="869" hidden="1" xr:uid="{00000000-0005-0000-0000-000069030000}"/>
    <cellStyle name="Followed Hyperlink 2" xfId="870" hidden="1" xr:uid="{00000000-0005-0000-0000-00006A030000}"/>
    <cellStyle name="Followed Hyperlink 2" xfId="871" hidden="1" xr:uid="{00000000-0005-0000-0000-00006B030000}"/>
    <cellStyle name="Followed Hyperlink 2" xfId="872" hidden="1" xr:uid="{00000000-0005-0000-0000-00006C030000}"/>
    <cellStyle name="Followed Hyperlink 2" xfId="873" hidden="1" xr:uid="{00000000-0005-0000-0000-00006D030000}"/>
    <cellStyle name="Followed Hyperlink 2" xfId="874" hidden="1" xr:uid="{00000000-0005-0000-0000-00006E030000}"/>
    <cellStyle name="Followed Hyperlink 2" xfId="875" hidden="1" xr:uid="{00000000-0005-0000-0000-00006F030000}"/>
    <cellStyle name="Followed Hyperlink 2" xfId="876" hidden="1" xr:uid="{00000000-0005-0000-0000-000070030000}"/>
    <cellStyle name="Followed Hyperlink 2" xfId="877" hidden="1" xr:uid="{00000000-0005-0000-0000-000071030000}"/>
    <cellStyle name="Followed Hyperlink 2" xfId="878" hidden="1" xr:uid="{00000000-0005-0000-0000-000072030000}"/>
    <cellStyle name="Followed Hyperlink 2" xfId="879" hidden="1" xr:uid="{00000000-0005-0000-0000-000073030000}"/>
    <cellStyle name="Followed Hyperlink 2" xfId="880" hidden="1" xr:uid="{00000000-0005-0000-0000-000074030000}"/>
    <cellStyle name="Followed Hyperlink 2" xfId="881" hidden="1" xr:uid="{00000000-0005-0000-0000-000075030000}"/>
    <cellStyle name="Followed Hyperlink 2" xfId="882" hidden="1" xr:uid="{00000000-0005-0000-0000-000076030000}"/>
    <cellStyle name="Followed Hyperlink 2" xfId="883" hidden="1" xr:uid="{00000000-0005-0000-0000-000077030000}"/>
    <cellStyle name="Followed Hyperlink 2" xfId="884" hidden="1" xr:uid="{00000000-0005-0000-0000-000078030000}"/>
    <cellStyle name="Followed Hyperlink 2" xfId="885" hidden="1" xr:uid="{00000000-0005-0000-0000-000079030000}"/>
    <cellStyle name="Followed Hyperlink 2" xfId="886" hidden="1" xr:uid="{00000000-0005-0000-0000-00007A030000}"/>
    <cellStyle name="Followed Hyperlink 2" xfId="887" hidden="1" xr:uid="{00000000-0005-0000-0000-00007B030000}"/>
    <cellStyle name="Followed Hyperlink 2" xfId="888" hidden="1" xr:uid="{00000000-0005-0000-0000-00007C030000}"/>
    <cellStyle name="Followed Hyperlink 2" xfId="889" hidden="1" xr:uid="{00000000-0005-0000-0000-00007D030000}"/>
    <cellStyle name="Followed Hyperlink 2" xfId="890" hidden="1" xr:uid="{00000000-0005-0000-0000-00007E030000}"/>
    <cellStyle name="Followed Hyperlink 2" xfId="891" hidden="1" xr:uid="{00000000-0005-0000-0000-00007F030000}"/>
    <cellStyle name="Followed Hyperlink 2" xfId="892" hidden="1" xr:uid="{00000000-0005-0000-0000-000080030000}"/>
    <cellStyle name="Followed Hyperlink 2" xfId="893" hidden="1" xr:uid="{00000000-0005-0000-0000-000081030000}"/>
    <cellStyle name="Followed Hyperlink 2" xfId="894" hidden="1" xr:uid="{00000000-0005-0000-0000-000082030000}"/>
    <cellStyle name="Followed Hyperlink 2" xfId="895" hidden="1" xr:uid="{00000000-0005-0000-0000-000083030000}"/>
    <cellStyle name="Followed Hyperlink 2" xfId="896" hidden="1" xr:uid="{00000000-0005-0000-0000-000084030000}"/>
    <cellStyle name="Followed Hyperlink 2" xfId="897" hidden="1" xr:uid="{00000000-0005-0000-0000-000085030000}"/>
    <cellStyle name="Followed Hyperlink 2" xfId="898" hidden="1" xr:uid="{00000000-0005-0000-0000-000086030000}"/>
    <cellStyle name="Followed Hyperlink 2" xfId="899" hidden="1" xr:uid="{00000000-0005-0000-0000-000087030000}"/>
    <cellStyle name="Followed Hyperlink 2" xfId="900" hidden="1" xr:uid="{00000000-0005-0000-0000-000088030000}"/>
    <cellStyle name="Followed Hyperlink 2" xfId="901" hidden="1" xr:uid="{00000000-0005-0000-0000-000089030000}"/>
    <cellStyle name="Followed Hyperlink 2" xfId="902" hidden="1" xr:uid="{00000000-0005-0000-0000-00008A030000}"/>
    <cellStyle name="Followed Hyperlink 2" xfId="903" hidden="1" xr:uid="{00000000-0005-0000-0000-00008B030000}"/>
    <cellStyle name="Followed Hyperlink 2" xfId="904" hidden="1" xr:uid="{00000000-0005-0000-0000-00008C030000}"/>
    <cellStyle name="Followed Hyperlink 2" xfId="905" hidden="1" xr:uid="{00000000-0005-0000-0000-00008D030000}"/>
    <cellStyle name="Followed Hyperlink 2" xfId="906" hidden="1" xr:uid="{00000000-0005-0000-0000-00008E030000}"/>
    <cellStyle name="Followed Hyperlink 2" xfId="907" hidden="1" xr:uid="{00000000-0005-0000-0000-00008F030000}"/>
    <cellStyle name="Followed Hyperlink 2" xfId="908" hidden="1" xr:uid="{00000000-0005-0000-0000-000090030000}"/>
    <cellStyle name="Followed Hyperlink 2" xfId="909" hidden="1" xr:uid="{00000000-0005-0000-0000-000091030000}"/>
    <cellStyle name="Followed Hyperlink 2" xfId="910" hidden="1" xr:uid="{00000000-0005-0000-0000-000092030000}"/>
    <cellStyle name="Followed Hyperlink 2" xfId="911" hidden="1" xr:uid="{00000000-0005-0000-0000-000093030000}"/>
    <cellStyle name="Followed Hyperlink 2" xfId="912" hidden="1" xr:uid="{00000000-0005-0000-0000-000094030000}"/>
    <cellStyle name="Followed Hyperlink 2" xfId="913" hidden="1" xr:uid="{00000000-0005-0000-0000-000095030000}"/>
    <cellStyle name="Followed Hyperlink 2" xfId="914" hidden="1" xr:uid="{00000000-0005-0000-0000-000096030000}"/>
    <cellStyle name="Followed Hyperlink 2" xfId="915" hidden="1" xr:uid="{00000000-0005-0000-0000-000097030000}"/>
    <cellStyle name="Followed Hyperlink 2" xfId="916" hidden="1" xr:uid="{00000000-0005-0000-0000-000098030000}"/>
    <cellStyle name="Followed Hyperlink 2" xfId="917" hidden="1" xr:uid="{00000000-0005-0000-0000-000099030000}"/>
    <cellStyle name="Followed Hyperlink 2" xfId="918" hidden="1" xr:uid="{00000000-0005-0000-0000-00009A030000}"/>
    <cellStyle name="Followed Hyperlink 2" xfId="919" hidden="1" xr:uid="{00000000-0005-0000-0000-00009B030000}"/>
    <cellStyle name="Followed Hyperlink 2" xfId="920" hidden="1" xr:uid="{00000000-0005-0000-0000-00009C030000}"/>
    <cellStyle name="Followed Hyperlink 2" xfId="921" hidden="1" xr:uid="{00000000-0005-0000-0000-00009D030000}"/>
    <cellStyle name="Followed Hyperlink 2" xfId="922" hidden="1" xr:uid="{00000000-0005-0000-0000-00009E030000}"/>
    <cellStyle name="Followed Hyperlink 2" xfId="923" hidden="1" xr:uid="{00000000-0005-0000-0000-00009F030000}"/>
    <cellStyle name="Followed Hyperlink 2" xfId="924" hidden="1" xr:uid="{00000000-0005-0000-0000-0000A0030000}"/>
    <cellStyle name="Followed Hyperlink 2" xfId="925" hidden="1" xr:uid="{00000000-0005-0000-0000-0000A1030000}"/>
    <cellStyle name="Followed Hyperlink 2" xfId="926" hidden="1" xr:uid="{00000000-0005-0000-0000-0000A2030000}"/>
    <cellStyle name="Followed Hyperlink 2" xfId="927" hidden="1" xr:uid="{00000000-0005-0000-0000-0000A3030000}"/>
    <cellStyle name="Followed Hyperlink 2" xfId="928" hidden="1" xr:uid="{00000000-0005-0000-0000-0000A4030000}"/>
    <cellStyle name="Followed Hyperlink 2" xfId="929" hidden="1" xr:uid="{00000000-0005-0000-0000-0000A5030000}"/>
    <cellStyle name="Followed Hyperlink 2" xfId="930" hidden="1" xr:uid="{00000000-0005-0000-0000-0000A6030000}"/>
    <cellStyle name="Followed Hyperlink 2" xfId="931" hidden="1" xr:uid="{00000000-0005-0000-0000-0000A7030000}"/>
    <cellStyle name="Followed Hyperlink 2" xfId="932" hidden="1" xr:uid="{00000000-0005-0000-0000-0000A8030000}"/>
    <cellStyle name="Followed Hyperlink 2" xfId="933" hidden="1" xr:uid="{00000000-0005-0000-0000-0000A9030000}"/>
    <cellStyle name="Followed Hyperlink 2" xfId="934" hidden="1" xr:uid="{00000000-0005-0000-0000-0000AA030000}"/>
    <cellStyle name="Followed Hyperlink 2" xfId="935" hidden="1" xr:uid="{00000000-0005-0000-0000-0000AB030000}"/>
    <cellStyle name="Followed Hyperlink 2" xfId="936" hidden="1" xr:uid="{00000000-0005-0000-0000-0000AC030000}"/>
    <cellStyle name="Followed Hyperlink 2" xfId="937" hidden="1" xr:uid="{00000000-0005-0000-0000-0000AD030000}"/>
    <cellStyle name="Followed Hyperlink 2" xfId="938" hidden="1" xr:uid="{00000000-0005-0000-0000-0000AE030000}"/>
    <cellStyle name="Followed Hyperlink 2" xfId="939" hidden="1" xr:uid="{00000000-0005-0000-0000-0000AF030000}"/>
    <cellStyle name="Followed Hyperlink 2" xfId="940" hidden="1" xr:uid="{00000000-0005-0000-0000-0000B0030000}"/>
    <cellStyle name="Followed Hyperlink 2" xfId="941" hidden="1" xr:uid="{00000000-0005-0000-0000-0000B1030000}"/>
    <cellStyle name="Followed Hyperlink 2" xfId="942" hidden="1" xr:uid="{00000000-0005-0000-0000-0000B2030000}"/>
    <cellStyle name="Followed Hyperlink 2" xfId="943" hidden="1" xr:uid="{00000000-0005-0000-0000-0000B3030000}"/>
    <cellStyle name="Followed Hyperlink 2" xfId="944" hidden="1" xr:uid="{00000000-0005-0000-0000-0000B4030000}"/>
    <cellStyle name="Followed Hyperlink 2" xfId="945" hidden="1" xr:uid="{00000000-0005-0000-0000-0000B5030000}"/>
    <cellStyle name="Followed Hyperlink 2" xfId="946" hidden="1" xr:uid="{00000000-0005-0000-0000-0000B6030000}"/>
    <cellStyle name="Followed Hyperlink 2" xfId="947" hidden="1" xr:uid="{00000000-0005-0000-0000-0000B7030000}"/>
    <cellStyle name="Followed Hyperlink 2" xfId="948" hidden="1" xr:uid="{00000000-0005-0000-0000-0000B8030000}"/>
    <cellStyle name="Followed Hyperlink 2" xfId="949" hidden="1" xr:uid="{00000000-0005-0000-0000-0000B9030000}"/>
    <cellStyle name="Followed Hyperlink 2" xfId="950" hidden="1" xr:uid="{00000000-0005-0000-0000-0000BA030000}"/>
    <cellStyle name="Followed Hyperlink 2" xfId="951" hidden="1" xr:uid="{00000000-0005-0000-0000-0000BB030000}"/>
    <cellStyle name="Followed Hyperlink 2" xfId="952" hidden="1" xr:uid="{00000000-0005-0000-0000-0000BC030000}"/>
    <cellStyle name="Followed Hyperlink 2" xfId="953" hidden="1" xr:uid="{00000000-0005-0000-0000-0000BD030000}"/>
    <cellStyle name="Followed Hyperlink 2" xfId="954" hidden="1" xr:uid="{00000000-0005-0000-0000-0000BE030000}"/>
    <cellStyle name="Followed Hyperlink 2" xfId="955" hidden="1" xr:uid="{00000000-0005-0000-0000-0000BF030000}"/>
    <cellStyle name="Followed Hyperlink 2" xfId="956" hidden="1" xr:uid="{00000000-0005-0000-0000-0000C0030000}"/>
    <cellStyle name="Followed Hyperlink 2" xfId="957" hidden="1" xr:uid="{00000000-0005-0000-0000-0000C1030000}"/>
    <cellStyle name="Followed Hyperlink 2" xfId="958" hidden="1" xr:uid="{00000000-0005-0000-0000-0000C2030000}"/>
    <cellStyle name="Followed Hyperlink 2" xfId="959" hidden="1" xr:uid="{00000000-0005-0000-0000-0000C3030000}"/>
    <cellStyle name="Followed Hyperlink 2" xfId="960" hidden="1" xr:uid="{00000000-0005-0000-0000-0000C4030000}"/>
    <cellStyle name="Followed Hyperlink 2" xfId="961" hidden="1" xr:uid="{00000000-0005-0000-0000-0000C5030000}"/>
    <cellStyle name="Followed Hyperlink 2" xfId="962" hidden="1" xr:uid="{00000000-0005-0000-0000-0000C6030000}"/>
    <cellStyle name="Followed Hyperlink 2" xfId="963" hidden="1" xr:uid="{00000000-0005-0000-0000-0000C7030000}"/>
    <cellStyle name="Followed Hyperlink 2" xfId="964" hidden="1" xr:uid="{00000000-0005-0000-0000-0000C8030000}"/>
    <cellStyle name="Followed Hyperlink 2" xfId="965" hidden="1" xr:uid="{00000000-0005-0000-0000-0000C9030000}"/>
    <cellStyle name="Followed Hyperlink 2" xfId="966" hidden="1" xr:uid="{00000000-0005-0000-0000-0000CA030000}"/>
    <cellStyle name="Followed Hyperlink 2" xfId="967" hidden="1" xr:uid="{00000000-0005-0000-0000-0000CB030000}"/>
    <cellStyle name="Followed Hyperlink 2" xfId="968" hidden="1" xr:uid="{00000000-0005-0000-0000-0000CC030000}"/>
    <cellStyle name="Followed Hyperlink 2" xfId="969" hidden="1" xr:uid="{00000000-0005-0000-0000-0000CD030000}"/>
    <cellStyle name="Followed Hyperlink 2" xfId="970" hidden="1" xr:uid="{00000000-0005-0000-0000-0000CE030000}"/>
    <cellStyle name="Followed Hyperlink 2" xfId="971" hidden="1" xr:uid="{00000000-0005-0000-0000-0000CF030000}"/>
    <cellStyle name="Followed Hyperlink 2" xfId="972" hidden="1" xr:uid="{00000000-0005-0000-0000-0000D0030000}"/>
    <cellStyle name="Followed Hyperlink 2" xfId="973" hidden="1" xr:uid="{00000000-0005-0000-0000-0000D1030000}"/>
    <cellStyle name="Followed Hyperlink 2" xfId="974" hidden="1" xr:uid="{00000000-0005-0000-0000-0000D2030000}"/>
    <cellStyle name="Followed Hyperlink 2" xfId="975" hidden="1" xr:uid="{00000000-0005-0000-0000-0000D3030000}"/>
    <cellStyle name="Followed Hyperlink 2" xfId="976" hidden="1" xr:uid="{00000000-0005-0000-0000-0000D4030000}"/>
    <cellStyle name="Followed Hyperlink 2" xfId="977" hidden="1" xr:uid="{00000000-0005-0000-0000-0000D5030000}"/>
    <cellStyle name="Followed Hyperlink 2" xfId="978" hidden="1" xr:uid="{00000000-0005-0000-0000-0000D6030000}"/>
    <cellStyle name="Followed Hyperlink 2" xfId="979" hidden="1" xr:uid="{00000000-0005-0000-0000-0000D7030000}"/>
    <cellStyle name="Followed Hyperlink 2" xfId="980" hidden="1" xr:uid="{00000000-0005-0000-0000-0000D8030000}"/>
    <cellStyle name="Followed Hyperlink 2" xfId="981" hidden="1" xr:uid="{00000000-0005-0000-0000-0000D9030000}"/>
    <cellStyle name="Followed Hyperlink 2" xfId="982" hidden="1" xr:uid="{00000000-0005-0000-0000-0000DA030000}"/>
    <cellStyle name="Followed Hyperlink 2" xfId="983" hidden="1" xr:uid="{00000000-0005-0000-0000-0000DB030000}"/>
    <cellStyle name="Followed Hyperlink 2" xfId="984" hidden="1" xr:uid="{00000000-0005-0000-0000-0000DC030000}"/>
    <cellStyle name="Followed Hyperlink 2" xfId="985" hidden="1" xr:uid="{00000000-0005-0000-0000-0000DD030000}"/>
    <cellStyle name="Followed Hyperlink 2" xfId="986" hidden="1" xr:uid="{00000000-0005-0000-0000-0000DE030000}"/>
    <cellStyle name="Followed Hyperlink 2" xfId="987" hidden="1" xr:uid="{00000000-0005-0000-0000-0000DF030000}"/>
    <cellStyle name="Followed Hyperlink 2" xfId="988" hidden="1" xr:uid="{00000000-0005-0000-0000-0000E0030000}"/>
    <cellStyle name="Followed Hyperlink 2" xfId="989" hidden="1" xr:uid="{00000000-0005-0000-0000-0000E1030000}"/>
    <cellStyle name="Followed Hyperlink 2" xfId="990" hidden="1" xr:uid="{00000000-0005-0000-0000-0000E2030000}"/>
    <cellStyle name="Followed Hyperlink 2" xfId="991" hidden="1" xr:uid="{00000000-0005-0000-0000-0000E3030000}"/>
    <cellStyle name="Followed Hyperlink 2" xfId="992" hidden="1" xr:uid="{00000000-0005-0000-0000-0000E4030000}"/>
    <cellStyle name="Followed Hyperlink 2" xfId="993" hidden="1" xr:uid="{00000000-0005-0000-0000-0000E5030000}"/>
    <cellStyle name="Followed Hyperlink 2" xfId="994" hidden="1" xr:uid="{00000000-0005-0000-0000-0000E6030000}"/>
    <cellStyle name="Followed Hyperlink 2" xfId="995" hidden="1" xr:uid="{00000000-0005-0000-0000-0000E7030000}"/>
    <cellStyle name="Followed Hyperlink 2" xfId="996" hidden="1" xr:uid="{00000000-0005-0000-0000-0000E8030000}"/>
    <cellStyle name="Followed Hyperlink 2" xfId="997" hidden="1" xr:uid="{00000000-0005-0000-0000-0000E9030000}"/>
    <cellStyle name="Followed Hyperlink 2" xfId="998" hidden="1" xr:uid="{00000000-0005-0000-0000-0000EA030000}"/>
    <cellStyle name="Followed Hyperlink 2" xfId="999" hidden="1" xr:uid="{00000000-0005-0000-0000-0000EB030000}"/>
    <cellStyle name="Followed Hyperlink 2" xfId="1000" hidden="1" xr:uid="{00000000-0005-0000-0000-0000EC030000}"/>
    <cellStyle name="Followed Hyperlink 2" xfId="1001" hidden="1" xr:uid="{00000000-0005-0000-0000-0000ED030000}"/>
    <cellStyle name="Followed Hyperlink 2" xfId="1002" hidden="1" xr:uid="{00000000-0005-0000-0000-0000EE030000}"/>
    <cellStyle name="Followed Hyperlink 2" xfId="1003" hidden="1" xr:uid="{00000000-0005-0000-0000-0000EF030000}"/>
    <cellStyle name="Followed Hyperlink 2" xfId="1004" hidden="1" xr:uid="{00000000-0005-0000-0000-0000F0030000}"/>
    <cellStyle name="Followed Hyperlink 2" xfId="1005" hidden="1" xr:uid="{00000000-0005-0000-0000-0000F1030000}"/>
    <cellStyle name="Followed Hyperlink 2" xfId="1006" hidden="1" xr:uid="{00000000-0005-0000-0000-0000F2030000}"/>
    <cellStyle name="Followed Hyperlink 2" xfId="1007" hidden="1" xr:uid="{00000000-0005-0000-0000-0000F3030000}"/>
    <cellStyle name="Followed Hyperlink 2" xfId="1008" hidden="1" xr:uid="{00000000-0005-0000-0000-0000F4030000}"/>
    <cellStyle name="Followed Hyperlink 2" xfId="1009" hidden="1" xr:uid="{00000000-0005-0000-0000-0000F5030000}"/>
    <cellStyle name="Followed Hyperlink 2" xfId="1010" hidden="1" xr:uid="{00000000-0005-0000-0000-0000F6030000}"/>
    <cellStyle name="Followed Hyperlink 2" xfId="1011" hidden="1" xr:uid="{00000000-0005-0000-0000-0000F7030000}"/>
    <cellStyle name="Followed Hyperlink 2" xfId="1012" hidden="1" xr:uid="{00000000-0005-0000-0000-0000F8030000}"/>
    <cellStyle name="Followed Hyperlink 2" xfId="1013" hidden="1" xr:uid="{00000000-0005-0000-0000-0000F9030000}"/>
    <cellStyle name="Followed Hyperlink 2" xfId="1014" hidden="1" xr:uid="{00000000-0005-0000-0000-0000FA030000}"/>
    <cellStyle name="Followed Hyperlink 2" xfId="1015" hidden="1" xr:uid="{00000000-0005-0000-0000-0000FB030000}"/>
    <cellStyle name="Followed Hyperlink 2" xfId="1016" hidden="1" xr:uid="{00000000-0005-0000-0000-0000FC030000}"/>
    <cellStyle name="Followed Hyperlink 2" xfId="1017" hidden="1" xr:uid="{00000000-0005-0000-0000-0000FD030000}"/>
    <cellStyle name="Followed Hyperlink 2" xfId="1018" hidden="1" xr:uid="{00000000-0005-0000-0000-0000FE030000}"/>
    <cellStyle name="Followed Hyperlink 2" xfId="1019" hidden="1" xr:uid="{00000000-0005-0000-0000-0000FF030000}"/>
    <cellStyle name="Followed Hyperlink 2" xfId="1020" hidden="1" xr:uid="{00000000-0005-0000-0000-000000040000}"/>
    <cellStyle name="Followed Hyperlink 2" xfId="1021" hidden="1" xr:uid="{00000000-0005-0000-0000-000001040000}"/>
    <cellStyle name="Followed Hyperlink 2" xfId="1022" hidden="1" xr:uid="{00000000-0005-0000-0000-000002040000}"/>
    <cellStyle name="Followed Hyperlink 2" xfId="1023" hidden="1" xr:uid="{00000000-0005-0000-0000-000003040000}"/>
    <cellStyle name="Followed Hyperlink 2" xfId="1024" hidden="1" xr:uid="{00000000-0005-0000-0000-000004040000}"/>
    <cellStyle name="Followed Hyperlink 2" xfId="1025" hidden="1" xr:uid="{00000000-0005-0000-0000-000005040000}"/>
    <cellStyle name="Followed Hyperlink 2" xfId="1026" hidden="1" xr:uid="{00000000-0005-0000-0000-000006040000}"/>
    <cellStyle name="Followed Hyperlink 2" xfId="1027" hidden="1" xr:uid="{00000000-0005-0000-0000-000007040000}"/>
    <cellStyle name="Followed Hyperlink 2" xfId="1028" hidden="1" xr:uid="{00000000-0005-0000-0000-000008040000}"/>
    <cellStyle name="Followed Hyperlink 2" xfId="1029" hidden="1" xr:uid="{00000000-0005-0000-0000-000009040000}"/>
    <cellStyle name="Followed Hyperlink 2" xfId="1030" hidden="1" xr:uid="{00000000-0005-0000-0000-00000A040000}"/>
    <cellStyle name="Followed Hyperlink 2" xfId="1031" hidden="1" xr:uid="{00000000-0005-0000-0000-00000B040000}"/>
    <cellStyle name="Followed Hyperlink 2" xfId="1032" hidden="1" xr:uid="{00000000-0005-0000-0000-00000C040000}"/>
    <cellStyle name="Good" xfId="1038" builtinId="26" customBuiltin="1"/>
    <cellStyle name="Heading 1" xfId="1034" builtinId="16" customBuiltin="1"/>
    <cellStyle name="Heading 2" xfId="1035" builtinId="17" customBuiltin="1"/>
    <cellStyle name="Heading 2 2" xfId="1" xr:uid="{00000000-0005-0000-0000-000010040000}"/>
    <cellStyle name="Heading 3" xfId="1036" builtinId="18" customBuiltin="1"/>
    <cellStyle name="Heading 4" xfId="1037" builtinId="19" customBuiltin="1"/>
    <cellStyle name="Hyperlink" xfId="2" builtinId="8"/>
    <cellStyle name="Hyperlink 2" xfId="1074" xr:uid="{00000000-0005-0000-0000-000014040000}"/>
    <cellStyle name="Hyperlink 2 2" xfId="1081" xr:uid="{A74CC11C-2AB6-4046-AAED-BEC85074EB04}"/>
    <cellStyle name="Input" xfId="1041" builtinId="20" customBuiltin="1"/>
    <cellStyle name="Linked Cell" xfId="1044" builtinId="24" customBuiltin="1"/>
    <cellStyle name="Neutral" xfId="1040" builtinId="28" customBuiltin="1"/>
    <cellStyle name="Normal" xfId="0" builtinId="0"/>
    <cellStyle name="Normal 10" xfId="1073" xr:uid="{00000000-0005-0000-0000-000019040000}"/>
    <cellStyle name="Normal 2" xfId="3" xr:uid="{00000000-0005-0000-0000-00001A040000}"/>
    <cellStyle name="Normal 2 2" xfId="7" xr:uid="{00000000-0005-0000-0000-00001B040000}"/>
    <cellStyle name="Normal 2 2 2" xfId="1080" xr:uid="{02E9DEE1-E291-0242-81F9-5A0059162ECC}"/>
    <cellStyle name="Normal 2 3" xfId="524" xr:uid="{00000000-0005-0000-0000-00001C040000}"/>
    <cellStyle name="Normal 2 4" xfId="528" xr:uid="{00000000-0005-0000-0000-00001D040000}"/>
    <cellStyle name="Normal 2 5" xfId="1079" xr:uid="{57C38A85-F35B-5A42-A82F-38FD2E96FCB8}"/>
    <cellStyle name="Normal 3" xfId="8" xr:uid="{00000000-0005-0000-0000-00001E040000}"/>
    <cellStyle name="Normal 3 2" xfId="268" xr:uid="{00000000-0005-0000-0000-00001F040000}"/>
    <cellStyle name="Normal 3 2 2" xfId="270" xr:uid="{00000000-0005-0000-0000-000020040000}"/>
    <cellStyle name="Normal 3 3" xfId="525" xr:uid="{00000000-0005-0000-0000-000021040000}"/>
    <cellStyle name="Normal 3 4" xfId="527" xr:uid="{00000000-0005-0000-0000-000022040000}"/>
    <cellStyle name="Normal 4" xfId="4" xr:uid="{00000000-0005-0000-0000-000023040000}"/>
    <cellStyle name="Normal 4 2" xfId="9" xr:uid="{00000000-0005-0000-0000-000024040000}"/>
    <cellStyle name="Normal 4 3" xfId="526" xr:uid="{00000000-0005-0000-0000-000025040000}"/>
    <cellStyle name="Normal 4 4" xfId="269" xr:uid="{00000000-0005-0000-0000-000026040000}"/>
    <cellStyle name="Normal 5" xfId="5" xr:uid="{00000000-0005-0000-0000-000027040000}"/>
    <cellStyle name="Normal 5 2" xfId="10" xr:uid="{00000000-0005-0000-0000-000028040000}"/>
    <cellStyle name="Normal 5 3" xfId="271" xr:uid="{00000000-0005-0000-0000-000029040000}"/>
    <cellStyle name="Normal 6" xfId="11" xr:uid="{00000000-0005-0000-0000-00002A040000}"/>
    <cellStyle name="Normal 7" xfId="13" xr:uid="{00000000-0005-0000-0000-00002B040000}"/>
    <cellStyle name="Normal 8" xfId="98" xr:uid="{00000000-0005-0000-0000-00002C040000}"/>
    <cellStyle name="Normal 9" xfId="99" xr:uid="{00000000-0005-0000-0000-00002D040000}"/>
    <cellStyle name="Note 2" xfId="1077" xr:uid="{00000000-0005-0000-0000-00002E040000}"/>
    <cellStyle name="Note 3" xfId="1075" xr:uid="{00000000-0005-0000-0000-00002F040000}"/>
    <cellStyle name="Note 4" xfId="1078" xr:uid="{00000000-0005-0000-0000-000030040000}"/>
    <cellStyle name="Note 5" xfId="1076" xr:uid="{00000000-0005-0000-0000-000031040000}"/>
    <cellStyle name="Output" xfId="1042" builtinId="21" customBuiltin="1"/>
    <cellStyle name="Percent 2" xfId="12" xr:uid="{00000000-0005-0000-0000-000033040000}"/>
    <cellStyle name="Title" xfId="1033" builtinId="15" customBuiltin="1"/>
    <cellStyle name="Total" xfId="1048" builtinId="25" customBuiltin="1"/>
    <cellStyle name="Warning Text" xfId="10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externalLink" Target="externalLinks/externalLink6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4</xdr:row>
          <xdr:rowOff>114300</xdr:rowOff>
        </xdr:from>
        <xdr:to>
          <xdr:col>2</xdr:col>
          <xdr:colOff>1841500</xdr:colOff>
          <xdr:row>6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ClickToRun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%201%20P2%20luojerry/Group1_p2_vfin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VBAExercises/assigned%20for%202020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/>
  </sheetViews>
  <sheetFormatPr defaultColWidth="8.81640625" defaultRowHeight="14.5"/>
  <cols>
    <col min="1" max="1" width="19.36328125" customWidth="1"/>
    <col min="2" max="2" width="16.6328125" customWidth="1"/>
    <col min="3" max="3" width="15.36328125" customWidth="1"/>
    <col min="4" max="4" width="18.36328125" customWidth="1"/>
    <col min="5" max="5" width="13" customWidth="1"/>
    <col min="6" max="6" width="30.453125" customWidth="1"/>
  </cols>
  <sheetData>
    <row r="1" spans="1:6" ht="15.5">
      <c r="A1" s="21" t="s">
        <v>848</v>
      </c>
      <c r="B1" s="84" t="s">
        <v>802</v>
      </c>
      <c r="C1" s="19"/>
      <c r="D1" s="19"/>
      <c r="E1" s="19"/>
      <c r="F1" s="19"/>
    </row>
    <row r="2" spans="1:6" ht="15.5">
      <c r="A2" s="22"/>
      <c r="B2" s="19"/>
      <c r="C2" s="19"/>
      <c r="D2" s="19"/>
      <c r="E2" s="19"/>
      <c r="F2" s="19"/>
    </row>
    <row r="3" spans="1:6" ht="15" thickBot="1">
      <c r="A3" s="100"/>
      <c r="B3" s="99"/>
      <c r="C3" s="19"/>
      <c r="D3" s="19"/>
      <c r="E3" s="19"/>
      <c r="F3" s="19"/>
    </row>
    <row r="4" spans="1:6" ht="15.5">
      <c r="A4" s="24"/>
      <c r="B4" s="19"/>
      <c r="C4" s="20"/>
      <c r="D4" s="19"/>
      <c r="E4" s="19"/>
      <c r="F4" s="23" t="s">
        <v>691</v>
      </c>
    </row>
    <row r="5" spans="1:6" ht="16" thickBot="1">
      <c r="A5" s="19"/>
      <c r="B5" s="21"/>
      <c r="C5" s="20"/>
      <c r="D5" s="19"/>
      <c r="E5" s="19"/>
      <c r="F5" s="27">
        <v>41657</v>
      </c>
    </row>
    <row r="6" spans="1:6" ht="15.5">
      <c r="A6" s="19"/>
      <c r="B6" s="21"/>
      <c r="C6" s="20"/>
      <c r="D6" s="19"/>
      <c r="E6" s="19"/>
      <c r="F6" s="25"/>
    </row>
    <row r="13" spans="1:6">
      <c r="A13" s="36"/>
      <c r="B13" s="36"/>
    </row>
  </sheetData>
  <hyperlinks>
    <hyperlink ref="A1" location="assignment!A1" display="Project 2 Inputs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1"/>
  <sheetViews>
    <sheetView tabSelected="1" zoomScaleNormal="100" workbookViewId="0">
      <selection activeCell="C5" sqref="C5"/>
    </sheetView>
  </sheetViews>
  <sheetFormatPr defaultColWidth="8.81640625" defaultRowHeight="14.5"/>
  <cols>
    <col min="1" max="1" width="17.81640625" customWidth="1"/>
    <col min="2" max="2" width="20.81640625" bestFit="1" customWidth="1"/>
    <col min="3" max="3" width="29.6328125" customWidth="1"/>
    <col min="4" max="4" width="12.453125" customWidth="1"/>
    <col min="5" max="5" width="21.6328125" bestFit="1" customWidth="1"/>
    <col min="6" max="6" width="6.453125" bestFit="1" customWidth="1"/>
    <col min="7" max="7" width="14" customWidth="1"/>
    <col min="8" max="8" width="22.6328125" customWidth="1"/>
    <col min="9" max="9" width="15.6328125" customWidth="1"/>
  </cols>
  <sheetData>
    <row r="1" spans="1:10" ht="217" customHeight="1" thickBot="1">
      <c r="A1" s="133" t="s">
        <v>671</v>
      </c>
      <c r="B1" s="145" t="s">
        <v>861</v>
      </c>
      <c r="C1" s="146"/>
      <c r="D1" s="146"/>
      <c r="E1" s="146"/>
      <c r="F1" s="146"/>
      <c r="G1" s="146"/>
      <c r="H1" s="147"/>
    </row>
    <row r="2" spans="1:10" ht="15.5">
      <c r="A2" s="129" t="s">
        <v>857</v>
      </c>
      <c r="B2" s="138" t="s">
        <v>856</v>
      </c>
      <c r="C2" s="134" t="s">
        <v>814</v>
      </c>
      <c r="D2" s="135" t="s">
        <v>669</v>
      </c>
      <c r="E2" s="136" t="s">
        <v>850</v>
      </c>
      <c r="F2" s="135" t="s">
        <v>858</v>
      </c>
      <c r="G2" s="134" t="s">
        <v>859</v>
      </c>
      <c r="H2" s="134" t="s">
        <v>854</v>
      </c>
      <c r="I2" s="137" t="s">
        <v>855</v>
      </c>
    </row>
    <row r="3" spans="1:10" ht="19" thickBot="1">
      <c r="A3" s="140">
        <f>Intro!F5</f>
        <v>41657</v>
      </c>
      <c r="B3" s="141">
        <v>5</v>
      </c>
      <c r="C3" s="142" t="s">
        <v>834</v>
      </c>
      <c r="D3" s="139" t="s">
        <v>670</v>
      </c>
      <c r="E3" s="139" t="s">
        <v>851</v>
      </c>
      <c r="F3" s="139">
        <v>0.95</v>
      </c>
      <c r="G3" s="139" t="s">
        <v>693</v>
      </c>
      <c r="H3" s="143">
        <v>296.0218604601468</v>
      </c>
      <c r="I3" s="144">
        <v>439.53618695980987</v>
      </c>
    </row>
    <row r="4" spans="1:10">
      <c r="A4" s="131"/>
    </row>
    <row r="5" spans="1:10">
      <c r="A5" s="131"/>
    </row>
    <row r="6" spans="1:10" ht="19" thickBot="1">
      <c r="A6" s="130"/>
      <c r="H6" s="143">
        <v>296.0218604601468</v>
      </c>
      <c r="I6" s="144">
        <v>439.53618695980987</v>
      </c>
      <c r="J6" t="s">
        <v>860</v>
      </c>
    </row>
    <row r="7" spans="1:10" ht="18.5">
      <c r="A7" s="130"/>
    </row>
    <row r="8" spans="1:10">
      <c r="A8" s="132"/>
    </row>
    <row r="9" spans="1:10" ht="18.5">
      <c r="A9" s="130"/>
    </row>
    <row r="10" spans="1:10" ht="18.5">
      <c r="A10" s="130"/>
    </row>
    <row r="11" spans="1:10">
      <c r="A11" s="132"/>
    </row>
  </sheetData>
  <mergeCells count="1">
    <mergeCell ref="B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HistoVaRandES">
                <anchor moveWithCells="1" sizeWithCells="1">
                  <from>
                    <xdr:col>2</xdr:col>
                    <xdr:colOff>317500</xdr:colOff>
                    <xdr:row>4</xdr:row>
                    <xdr:rowOff>114300</xdr:rowOff>
                  </from>
                  <to>
                    <xdr:col>2</xdr:col>
                    <xdr:colOff>1841500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Data!$D$2:$D$9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D32CC-072A-1448-A789-C92733031140}">
  <sheetPr codeName="Sheet34"/>
  <dimension ref="A1:BN2"/>
  <sheetViews>
    <sheetView workbookViewId="0">
      <selection activeCell="H13" sqref="H13"/>
    </sheetView>
  </sheetViews>
  <sheetFormatPr defaultColWidth="10.90625" defaultRowHeight="14.5"/>
  <sheetData>
    <row r="1" spans="1:66">
      <c r="A1" t="s">
        <v>708</v>
      </c>
      <c r="B1" t="s">
        <v>709</v>
      </c>
      <c r="C1" t="s">
        <v>710</v>
      </c>
      <c r="D1" t="s">
        <v>720</v>
      </c>
      <c r="E1" t="s">
        <v>804</v>
      </c>
      <c r="F1" t="s">
        <v>805</v>
      </c>
      <c r="G1" t="s">
        <v>806</v>
      </c>
      <c r="H1" t="s">
        <v>721</v>
      </c>
      <c r="I1" t="s">
        <v>722</v>
      </c>
      <c r="J1" t="s">
        <v>723</v>
      </c>
      <c r="K1" t="s">
        <v>700</v>
      </c>
      <c r="L1" t="s">
        <v>701</v>
      </c>
      <c r="M1" t="s">
        <v>702</v>
      </c>
      <c r="N1" t="s">
        <v>724</v>
      </c>
      <c r="O1" t="s">
        <v>725</v>
      </c>
      <c r="P1" t="s">
        <v>726</v>
      </c>
      <c r="Q1" t="s">
        <v>727</v>
      </c>
      <c r="R1" t="s">
        <v>728</v>
      </c>
      <c r="S1" t="s">
        <v>703</v>
      </c>
      <c r="T1" t="s">
        <v>704</v>
      </c>
      <c r="U1" t="s">
        <v>729</v>
      </c>
      <c r="V1" t="s">
        <v>705</v>
      </c>
      <c r="W1" t="s">
        <v>706</v>
      </c>
      <c r="X1" t="s">
        <v>707</v>
      </c>
      <c r="Y1" t="s">
        <v>730</v>
      </c>
      <c r="Z1" t="s">
        <v>717</v>
      </c>
      <c r="AA1" t="s">
        <v>718</v>
      </c>
      <c r="AB1" t="s">
        <v>731</v>
      </c>
      <c r="AC1" t="s">
        <v>732</v>
      </c>
      <c r="AD1" t="s">
        <v>733</v>
      </c>
      <c r="AE1" t="s">
        <v>734</v>
      </c>
      <c r="AF1" t="s">
        <v>735</v>
      </c>
      <c r="AG1" t="s">
        <v>719</v>
      </c>
      <c r="AH1" t="s">
        <v>736</v>
      </c>
      <c r="AI1" t="s">
        <v>737</v>
      </c>
      <c r="AJ1" t="s">
        <v>738</v>
      </c>
      <c r="AK1" t="s">
        <v>739</v>
      </c>
      <c r="AL1" t="s">
        <v>740</v>
      </c>
      <c r="AM1" t="s">
        <v>741</v>
      </c>
      <c r="AN1" t="s">
        <v>742</v>
      </c>
      <c r="AO1" t="s">
        <v>743</v>
      </c>
      <c r="AP1" t="s">
        <v>744</v>
      </c>
      <c r="AQ1" t="s">
        <v>745</v>
      </c>
      <c r="AR1" t="s">
        <v>746</v>
      </c>
      <c r="AS1" t="s">
        <v>747</v>
      </c>
      <c r="AT1" t="s">
        <v>748</v>
      </c>
      <c r="AU1" t="s">
        <v>749</v>
      </c>
      <c r="AV1" t="s">
        <v>750</v>
      </c>
      <c r="AW1" t="s">
        <v>751</v>
      </c>
      <c r="AX1" t="s">
        <v>752</v>
      </c>
      <c r="AY1" t="s">
        <v>753</v>
      </c>
      <c r="AZ1" t="s">
        <v>754</v>
      </c>
      <c r="BA1" t="s">
        <v>711</v>
      </c>
      <c r="BB1" t="s">
        <v>712</v>
      </c>
      <c r="BC1" t="s">
        <v>713</v>
      </c>
      <c r="BD1" t="s">
        <v>755</v>
      </c>
      <c r="BE1" t="s">
        <v>756</v>
      </c>
      <c r="BF1" t="s">
        <v>757</v>
      </c>
      <c r="BG1" t="s">
        <v>758</v>
      </c>
      <c r="BH1" t="s">
        <v>759</v>
      </c>
      <c r="BI1" t="s">
        <v>714</v>
      </c>
      <c r="BJ1" t="s">
        <v>715</v>
      </c>
      <c r="BK1" t="s">
        <v>716</v>
      </c>
      <c r="BL1" t="s">
        <v>760</v>
      </c>
      <c r="BM1" t="s">
        <v>761</v>
      </c>
      <c r="BN1" t="s">
        <v>762</v>
      </c>
    </row>
    <row r="2" spans="1:66">
      <c r="A2">
        <v>-0.65843140832327507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0.65640807734183015</v>
      </c>
      <c r="T2">
        <v>2.0140480971171776E-3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-0.98708664926768319</v>
      </c>
      <c r="BJ2">
        <v>-3.6066328230740688E-3</v>
      </c>
      <c r="BK2">
        <v>0</v>
      </c>
      <c r="BL2">
        <v>0</v>
      </c>
      <c r="BM2">
        <v>0</v>
      </c>
      <c r="BN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D23-85E7-AA4D-A4BE-C58276036497}">
  <sheetPr codeName="Sheet37"/>
  <dimension ref="A1:BN102"/>
  <sheetViews>
    <sheetView topLeftCell="A100" workbookViewId="0">
      <selection activeCell="A2" sqref="A2"/>
    </sheetView>
  </sheetViews>
  <sheetFormatPr defaultColWidth="8.81640625" defaultRowHeight="14.5"/>
  <cols>
    <col min="1" max="5" width="11.81640625" style="36" bestFit="1" customWidth="1"/>
    <col min="6" max="7" width="12.1796875" style="36" bestFit="1" customWidth="1"/>
    <col min="8" max="8" width="8.81640625" style="36" bestFit="1" customWidth="1"/>
    <col min="9" max="9" width="7.81640625" style="36" bestFit="1" customWidth="1"/>
    <col min="10" max="15" width="11.81640625" style="36" bestFit="1" customWidth="1"/>
    <col min="16" max="16" width="10.81640625" style="36" bestFit="1" customWidth="1"/>
    <col min="17" max="30" width="11.81640625" style="36" bestFit="1" customWidth="1"/>
    <col min="31" max="31" width="10.81640625" style="36" bestFit="1" customWidth="1"/>
    <col min="32" max="58" width="11.81640625" style="36" bestFit="1" customWidth="1"/>
    <col min="59" max="59" width="10.81640625" style="36" bestFit="1" customWidth="1"/>
    <col min="60" max="66" width="11.81640625" style="36" bestFit="1" customWidth="1"/>
    <col min="67" max="16384" width="8.81640625" style="36"/>
  </cols>
  <sheetData>
    <row r="1" spans="1:66" s="127" customFormat="1">
      <c r="A1" s="127" t="s">
        <v>708</v>
      </c>
      <c r="B1" s="127" t="s">
        <v>709</v>
      </c>
      <c r="C1" s="127" t="s">
        <v>710</v>
      </c>
      <c r="D1" s="127" t="s">
        <v>720</v>
      </c>
      <c r="E1" s="127" t="s">
        <v>804</v>
      </c>
      <c r="F1" s="127" t="s">
        <v>805</v>
      </c>
      <c r="G1" s="127" t="s">
        <v>806</v>
      </c>
      <c r="H1" s="127" t="s">
        <v>721</v>
      </c>
      <c r="I1" s="127" t="s">
        <v>722</v>
      </c>
      <c r="J1" s="127" t="s">
        <v>723</v>
      </c>
      <c r="K1" s="127" t="s">
        <v>700</v>
      </c>
      <c r="L1" s="127" t="s">
        <v>701</v>
      </c>
      <c r="M1" s="127" t="s">
        <v>702</v>
      </c>
      <c r="N1" s="127" t="s">
        <v>724</v>
      </c>
      <c r="O1" s="127" t="s">
        <v>725</v>
      </c>
      <c r="P1" s="127" t="s">
        <v>726</v>
      </c>
      <c r="Q1" s="127" t="s">
        <v>727</v>
      </c>
      <c r="R1" s="127" t="s">
        <v>728</v>
      </c>
      <c r="S1" s="127" t="s">
        <v>703</v>
      </c>
      <c r="T1" s="127" t="s">
        <v>704</v>
      </c>
      <c r="U1" s="127" t="s">
        <v>729</v>
      </c>
      <c r="V1" s="127" t="s">
        <v>705</v>
      </c>
      <c r="W1" s="127" t="s">
        <v>706</v>
      </c>
      <c r="X1" s="127" t="s">
        <v>707</v>
      </c>
      <c r="Y1" s="127" t="s">
        <v>730</v>
      </c>
      <c r="Z1" s="127" t="s">
        <v>717</v>
      </c>
      <c r="AA1" s="127" t="s">
        <v>718</v>
      </c>
      <c r="AB1" s="127" t="s">
        <v>731</v>
      </c>
      <c r="AC1" s="127" t="s">
        <v>732</v>
      </c>
      <c r="AD1" s="127" t="s">
        <v>733</v>
      </c>
      <c r="AE1" s="127" t="s">
        <v>734</v>
      </c>
      <c r="AF1" s="127" t="s">
        <v>735</v>
      </c>
      <c r="AG1" s="127" t="s">
        <v>719</v>
      </c>
      <c r="AH1" s="127" t="s">
        <v>736</v>
      </c>
      <c r="AI1" s="127" t="s">
        <v>737</v>
      </c>
      <c r="AJ1" s="127" t="s">
        <v>738</v>
      </c>
      <c r="AK1" s="127" t="s">
        <v>739</v>
      </c>
      <c r="AL1" s="127" t="s">
        <v>740</v>
      </c>
      <c r="AM1" s="127" t="s">
        <v>741</v>
      </c>
      <c r="AN1" s="127" t="s">
        <v>742</v>
      </c>
      <c r="AO1" s="127" t="s">
        <v>743</v>
      </c>
      <c r="AP1" s="127" t="s">
        <v>744</v>
      </c>
      <c r="AQ1" s="127" t="s">
        <v>745</v>
      </c>
      <c r="AR1" s="127" t="s">
        <v>746</v>
      </c>
      <c r="AS1" s="127" t="s">
        <v>747</v>
      </c>
      <c r="AT1" s="127" t="s">
        <v>748</v>
      </c>
      <c r="AU1" s="127" t="s">
        <v>749</v>
      </c>
      <c r="AV1" s="127" t="s">
        <v>750</v>
      </c>
      <c r="AW1" s="127" t="s">
        <v>751</v>
      </c>
      <c r="AX1" s="127" t="s">
        <v>752</v>
      </c>
      <c r="AY1" s="127" t="s">
        <v>753</v>
      </c>
      <c r="AZ1" s="127" t="s">
        <v>754</v>
      </c>
      <c r="BA1" s="127" t="s">
        <v>711</v>
      </c>
      <c r="BB1" s="127" t="s">
        <v>712</v>
      </c>
      <c r="BC1" s="127" t="s">
        <v>713</v>
      </c>
      <c r="BD1" s="127" t="s">
        <v>755</v>
      </c>
      <c r="BE1" s="127" t="s">
        <v>756</v>
      </c>
      <c r="BF1" s="127" t="s">
        <v>757</v>
      </c>
      <c r="BG1" s="127" t="s">
        <v>758</v>
      </c>
      <c r="BH1" s="127" t="s">
        <v>759</v>
      </c>
      <c r="BI1" s="127" t="s">
        <v>714</v>
      </c>
      <c r="BJ1" s="127" t="s">
        <v>715</v>
      </c>
      <c r="BK1" s="127" t="s">
        <v>716</v>
      </c>
      <c r="BL1" s="127" t="s">
        <v>760</v>
      </c>
      <c r="BM1" s="127" t="s">
        <v>761</v>
      </c>
      <c r="BN1" s="127" t="s">
        <v>762</v>
      </c>
    </row>
    <row r="2" spans="1:66" s="128" customFormat="1">
      <c r="A2" s="128">
        <v>0.97031415121529441</v>
      </c>
      <c r="B2" s="128">
        <v>1.3502097543792233</v>
      </c>
      <c r="C2" s="128">
        <v>1.615653120696833</v>
      </c>
      <c r="D2" s="128">
        <v>0.32023569347039421</v>
      </c>
      <c r="E2" s="128">
        <v>2.79</v>
      </c>
      <c r="F2" s="128">
        <v>10.75</v>
      </c>
      <c r="G2" s="128">
        <v>223</v>
      </c>
      <c r="H2" s="128">
        <v>15118.82</v>
      </c>
      <c r="I2" s="128">
        <v>1679.91</v>
      </c>
      <c r="J2" s="128">
        <v>1.24</v>
      </c>
      <c r="K2" s="128">
        <v>9.5956210000000004E-3</v>
      </c>
      <c r="L2" s="128">
        <v>9.8327329999999998E-3</v>
      </c>
      <c r="M2" s="128">
        <v>1.02403244E-2</v>
      </c>
      <c r="N2" s="128">
        <v>1.08200165E-2</v>
      </c>
      <c r="O2" s="128">
        <v>1.1488112199999999E-2</v>
      </c>
      <c r="P2" s="128">
        <v>1.27114802E-2</v>
      </c>
      <c r="Q2" s="128">
        <v>1.3892553300000001E-2</v>
      </c>
      <c r="R2" s="128">
        <v>1.4954030700000001E-2</v>
      </c>
      <c r="S2" s="128">
        <v>1.48051087E-2</v>
      </c>
      <c r="T2" s="128">
        <v>1.74588164E-2</v>
      </c>
      <c r="U2" s="128">
        <v>2.2742852800000001E-2</v>
      </c>
      <c r="V2" s="128">
        <v>3.1559511599999999E-2</v>
      </c>
      <c r="W2" s="128">
        <v>3.6807841100000002E-2</v>
      </c>
      <c r="X2" s="128">
        <v>3.8295457800000002E-2</v>
      </c>
      <c r="Y2" s="128">
        <v>1.5011219999999999E-3</v>
      </c>
      <c r="Z2" s="128">
        <v>1.2289060000000001E-3</v>
      </c>
      <c r="AA2" s="128">
        <v>1.2608261000000001E-3</v>
      </c>
      <c r="AB2" s="128">
        <v>1.6743226E-3</v>
      </c>
      <c r="AC2" s="128">
        <v>2.1719952E-3</v>
      </c>
      <c r="AD2" s="128">
        <v>3.3253614999999999E-3</v>
      </c>
      <c r="AE2" s="128">
        <v>4.3986199999999998E-3</v>
      </c>
      <c r="AF2" s="128">
        <v>5.2973157999999998E-3</v>
      </c>
      <c r="AG2" s="128">
        <v>5.5316827999999998E-3</v>
      </c>
      <c r="AH2" s="128">
        <v>7.5014058999999999E-3</v>
      </c>
      <c r="AI2" s="128">
        <v>1.23519913E-2</v>
      </c>
      <c r="AJ2" s="128">
        <v>2.1150782900000002E-2</v>
      </c>
      <c r="AK2" s="128">
        <v>2.5703743099999999E-2</v>
      </c>
      <c r="AL2" s="128">
        <v>2.6995468700000001E-2</v>
      </c>
      <c r="AM2" s="128">
        <v>4.742479E-3</v>
      </c>
      <c r="AN2" s="128">
        <v>4.7400146999999997E-3</v>
      </c>
      <c r="AO2" s="128">
        <v>4.8795827999999998E-3</v>
      </c>
      <c r="AP2" s="128">
        <v>4.9975178999999998E-3</v>
      </c>
      <c r="AQ2" s="128">
        <v>5.1509946999999997E-3</v>
      </c>
      <c r="AR2" s="128">
        <v>5.8502857999999996E-3</v>
      </c>
      <c r="AS2" s="128">
        <v>7.2184444999999998E-3</v>
      </c>
      <c r="AT2" s="128">
        <v>8.6155782999999993E-3</v>
      </c>
      <c r="AU2" s="128">
        <v>8.4103114000000003E-3</v>
      </c>
      <c r="AV2" s="128">
        <v>1.13554824E-2</v>
      </c>
      <c r="AW2" s="128">
        <v>1.7660728600000002E-2</v>
      </c>
      <c r="AX2" s="128">
        <v>2.8147917599999999E-2</v>
      </c>
      <c r="AY2" s="128">
        <v>3.26849024E-2</v>
      </c>
      <c r="AZ2" s="128">
        <v>3.4563895800000001E-2</v>
      </c>
      <c r="BA2" s="128">
        <v>1.052552E-3</v>
      </c>
      <c r="BB2" s="128">
        <v>1.4982966999999999E-3</v>
      </c>
      <c r="BC2" s="128">
        <v>1.7205668E-3</v>
      </c>
      <c r="BD2" s="128">
        <v>2.1119872000000001E-3</v>
      </c>
      <c r="BE2" s="128">
        <v>2.4319329999999998E-3</v>
      </c>
      <c r="BF2" s="128">
        <v>3.6133916999999999E-3</v>
      </c>
      <c r="BG2" s="128">
        <v>4.8901403E-3</v>
      </c>
      <c r="BH2" s="128">
        <v>6.1691245000000004E-3</v>
      </c>
      <c r="BI2" s="128">
        <v>4.6716253000000001E-3</v>
      </c>
      <c r="BJ2" s="128">
        <v>7.7745629000000004E-3</v>
      </c>
      <c r="BK2" s="128">
        <v>1.5726555900000001E-2</v>
      </c>
      <c r="BL2" s="128">
        <v>2.8907214000000001E-2</v>
      </c>
      <c r="BM2" s="128">
        <v>3.4888199199999997E-2</v>
      </c>
      <c r="BN2" s="128">
        <v>3.7368486499999999E-2</v>
      </c>
    </row>
    <row r="3" spans="1:66">
      <c r="A3" s="36">
        <v>0.97130676761123025</v>
      </c>
      <c r="B3" s="36">
        <v>1.3462652527286065</v>
      </c>
      <c r="C3" s="36">
        <v>1.6156496321362952</v>
      </c>
      <c r="D3" s="36">
        <v>0.31980024492661913</v>
      </c>
      <c r="E3" s="36">
        <v>2.782002695585748</v>
      </c>
      <c r="F3" s="36">
        <v>10.817826945239961</v>
      </c>
      <c r="G3" s="36">
        <v>224.23882740051644</v>
      </c>
      <c r="H3" s="36">
        <v>15118.763844287349</v>
      </c>
      <c r="I3" s="36">
        <v>1679.2842440527832</v>
      </c>
      <c r="J3" s="36">
        <v>1.2521640177867752</v>
      </c>
      <c r="K3" s="36">
        <v>1.071864402171142E-2</v>
      </c>
      <c r="L3" s="36">
        <v>1.1256310687863683E-2</v>
      </c>
      <c r="M3" s="36">
        <v>1.0610619407709611E-2</v>
      </c>
      <c r="N3" s="36">
        <v>1.2027081841019371E-2</v>
      </c>
      <c r="O3" s="36">
        <v>1.2930917126139689E-2</v>
      </c>
      <c r="P3" s="36">
        <v>1.4760616541455046E-2</v>
      </c>
      <c r="Q3" s="36">
        <v>1.4340414407398616E-2</v>
      </c>
      <c r="R3" s="36">
        <v>1.5441532474042719E-2</v>
      </c>
      <c r="S3" s="36">
        <v>1.5968156597883063E-2</v>
      </c>
      <c r="T3" s="36">
        <v>1.9789347431320999E-2</v>
      </c>
      <c r="U3" s="36">
        <v>2.2561422546539332E-2</v>
      </c>
      <c r="V3" s="36">
        <v>3.1351130434813537E-2</v>
      </c>
      <c r="W3" s="36">
        <v>3.6557911981274581E-2</v>
      </c>
      <c r="X3" s="36">
        <v>3.8060906273684754E-2</v>
      </c>
      <c r="Y3" s="36">
        <v>1.3879461814906089E-3</v>
      </c>
      <c r="Z3" s="36">
        <v>1.4877175673844074E-3</v>
      </c>
      <c r="AA3" s="36">
        <v>1.3139301485508108E-3</v>
      </c>
      <c r="AB3" s="36">
        <v>1.9288419445213779E-3</v>
      </c>
      <c r="AC3" s="36">
        <v>2.5432318570262819E-3</v>
      </c>
      <c r="AD3" s="36">
        <v>3.3389849437348781E-3</v>
      </c>
      <c r="AE3" s="36">
        <v>4.3734441314686439E-3</v>
      </c>
      <c r="AF3" s="36">
        <v>5.2478818592342821E-3</v>
      </c>
      <c r="AG3" s="36">
        <v>5.9998282823153625E-3</v>
      </c>
      <c r="AH3" s="36">
        <v>7.3735998703341838E-3</v>
      </c>
      <c r="AI3" s="36">
        <v>1.1970007126590876E-2</v>
      </c>
      <c r="AJ3" s="36">
        <v>2.1068579820251714E-2</v>
      </c>
      <c r="AK3" s="36">
        <v>2.5529134157176472E-2</v>
      </c>
      <c r="AL3" s="36">
        <v>2.6861621698975494E-2</v>
      </c>
      <c r="AM3" s="36">
        <v>4.6680908742345343E-3</v>
      </c>
      <c r="AN3" s="36">
        <v>5.2977045506317098E-3</v>
      </c>
      <c r="AO3" s="36">
        <v>4.8690880071290913E-3</v>
      </c>
      <c r="AP3" s="36">
        <v>5.6360827022597327E-3</v>
      </c>
      <c r="AQ3" s="36">
        <v>5.9810852097425459E-3</v>
      </c>
      <c r="AR3" s="36">
        <v>5.8100775730454664E-3</v>
      </c>
      <c r="AS3" s="36">
        <v>7.1222647148794687E-3</v>
      </c>
      <c r="AT3" s="36">
        <v>8.5770156583023817E-3</v>
      </c>
      <c r="AU3" s="36">
        <v>9.076042322281595E-3</v>
      </c>
      <c r="AV3" s="36">
        <v>1.0864226912767557E-2</v>
      </c>
      <c r="AW3" s="36">
        <v>1.6684050769034495E-2</v>
      </c>
      <c r="AX3" s="36">
        <v>2.7351894714345473E-2</v>
      </c>
      <c r="AY3" s="36">
        <v>3.2397044750971986E-2</v>
      </c>
      <c r="AZ3" s="36">
        <v>3.4258740156475599E-2</v>
      </c>
      <c r="BA3" s="36">
        <v>1.1402009310825386E-3</v>
      </c>
      <c r="BB3" s="36">
        <v>1.9525155338554819E-3</v>
      </c>
      <c r="BC3" s="36">
        <v>1.882337325719552E-3</v>
      </c>
      <c r="BD3" s="36">
        <v>2.5350330625659081E-3</v>
      </c>
      <c r="BE3" s="36">
        <v>3.0234714094356388E-3</v>
      </c>
      <c r="BF3" s="36">
        <v>3.3252181833490768E-3</v>
      </c>
      <c r="BG3" s="36">
        <v>4.9166957503114124E-3</v>
      </c>
      <c r="BH3" s="36">
        <v>6.3836129661969457E-3</v>
      </c>
      <c r="BI3" s="36">
        <v>5.2569966811167445E-3</v>
      </c>
      <c r="BJ3" s="36">
        <v>6.657944615217893E-3</v>
      </c>
      <c r="BK3" s="36">
        <v>1.2703792760682652E-2</v>
      </c>
      <c r="BL3" s="36">
        <v>2.861578743094647E-2</v>
      </c>
      <c r="BM3" s="36">
        <v>3.4664701122777357E-2</v>
      </c>
      <c r="BN3" s="36">
        <v>3.7098146949311989E-2</v>
      </c>
    </row>
    <row r="4" spans="1:66">
      <c r="A4" s="36">
        <v>0.96942703506175976</v>
      </c>
      <c r="B4" s="36">
        <v>1.3469465268034695</v>
      </c>
      <c r="C4" s="36">
        <v>1.6118744349371878</v>
      </c>
      <c r="D4" s="36">
        <v>0.3193462616118391</v>
      </c>
      <c r="E4" s="36">
        <v>2.82741382920321</v>
      </c>
      <c r="F4" s="36">
        <v>10.794041617738152</v>
      </c>
      <c r="G4" s="36">
        <v>220.97269609500648</v>
      </c>
      <c r="H4" s="36">
        <v>15118.758246378944</v>
      </c>
      <c r="I4" s="36">
        <v>1679.2782515041063</v>
      </c>
      <c r="J4" s="36">
        <v>1.2187558311104232</v>
      </c>
      <c r="K4" s="36">
        <v>1.0598025597639973E-2</v>
      </c>
      <c r="L4" s="36">
        <v>1.0687725891397841E-2</v>
      </c>
      <c r="M4" s="36">
        <v>1.0627869868739747E-2</v>
      </c>
      <c r="N4" s="36">
        <v>1.188655201510967E-2</v>
      </c>
      <c r="O4" s="36">
        <v>1.2821469332132917E-2</v>
      </c>
      <c r="P4" s="36">
        <v>1.4635262994406029E-2</v>
      </c>
      <c r="Q4" s="36">
        <v>1.4163226641122293E-2</v>
      </c>
      <c r="R4" s="36">
        <v>1.5509303948311416E-2</v>
      </c>
      <c r="S4" s="36">
        <v>1.5985261130328925E-2</v>
      </c>
      <c r="T4" s="36">
        <v>1.9852440474914114E-2</v>
      </c>
      <c r="U4" s="36">
        <v>2.2721617095325653E-2</v>
      </c>
      <c r="V4" s="36">
        <v>3.1679300683007283E-2</v>
      </c>
      <c r="W4" s="36">
        <v>3.7052760857916082E-2</v>
      </c>
      <c r="X4" s="36">
        <v>3.8563871215889882E-2</v>
      </c>
      <c r="Y4" s="36">
        <v>1.1085303194210904E-3</v>
      </c>
      <c r="Z4" s="36">
        <v>1.29067168214445E-3</v>
      </c>
      <c r="AA4" s="36">
        <v>1.2570236394905023E-3</v>
      </c>
      <c r="AB4" s="36">
        <v>1.8873772748150971E-3</v>
      </c>
      <c r="AC4" s="36">
        <v>2.5067283070504508E-3</v>
      </c>
      <c r="AD4" s="36">
        <v>3.3096195827965347E-3</v>
      </c>
      <c r="AE4" s="36">
        <v>4.359455449171731E-3</v>
      </c>
      <c r="AF4" s="36">
        <v>5.2332261280255508E-3</v>
      </c>
      <c r="AG4" s="36">
        <v>5.8247573790526728E-3</v>
      </c>
      <c r="AH4" s="36">
        <v>7.1770384711029381E-3</v>
      </c>
      <c r="AI4" s="36">
        <v>1.1701458721607659E-2</v>
      </c>
      <c r="AJ4" s="36">
        <v>2.0893220750240488E-2</v>
      </c>
      <c r="AK4" s="36">
        <v>2.5425889193479601E-2</v>
      </c>
      <c r="AL4" s="36">
        <v>2.6816287162922076E-2</v>
      </c>
      <c r="AM4" s="36">
        <v>4.7504992197052323E-3</v>
      </c>
      <c r="AN4" s="36">
        <v>5.3864171286840245E-3</v>
      </c>
      <c r="AO4" s="36">
        <v>4.8812841067195399E-3</v>
      </c>
      <c r="AP4" s="36">
        <v>5.6409303367511649E-3</v>
      </c>
      <c r="AQ4" s="36">
        <v>5.9816355630731592E-3</v>
      </c>
      <c r="AR4" s="36">
        <v>5.7935359893801245E-3</v>
      </c>
      <c r="AS4" s="36">
        <v>7.1019078538700322E-3</v>
      </c>
      <c r="AT4" s="36">
        <v>8.5598927251418541E-3</v>
      </c>
      <c r="AU4" s="36">
        <v>8.9247472392385511E-3</v>
      </c>
      <c r="AV4" s="36">
        <v>1.0741997267326277E-2</v>
      </c>
      <c r="AW4" s="36">
        <v>1.6544122230088242E-2</v>
      </c>
      <c r="AX4" s="36">
        <v>2.7271278809384181E-2</v>
      </c>
      <c r="AY4" s="36">
        <v>3.2419884191718082E-2</v>
      </c>
      <c r="AZ4" s="36">
        <v>3.4301634299503954E-2</v>
      </c>
      <c r="BA4" s="36">
        <v>8.5839916540151164E-4</v>
      </c>
      <c r="BB4" s="36">
        <v>1.6438246953874825E-3</v>
      </c>
      <c r="BC4" s="36">
        <v>1.7931744720396151E-3</v>
      </c>
      <c r="BD4" s="36">
        <v>2.4798201298446391E-3</v>
      </c>
      <c r="BE4" s="36">
        <v>2.9884796461755831E-3</v>
      </c>
      <c r="BF4" s="36">
        <v>3.2767087484973714E-3</v>
      </c>
      <c r="BG4" s="36">
        <v>4.8821348551264417E-3</v>
      </c>
      <c r="BH4" s="36">
        <v>6.3709049654600116E-3</v>
      </c>
      <c r="BI4" s="36">
        <v>5.3559479816100491E-3</v>
      </c>
      <c r="BJ4" s="36">
        <v>6.7482568281155833E-3</v>
      </c>
      <c r="BK4" s="36">
        <v>1.2886668162265729E-2</v>
      </c>
      <c r="BL4" s="36">
        <v>2.9128282414549032E-2</v>
      </c>
      <c r="BM4" s="36">
        <v>3.5082415463123191E-2</v>
      </c>
      <c r="BN4" s="36">
        <v>3.7674612247519113E-2</v>
      </c>
    </row>
    <row r="5" spans="1:66">
      <c r="A5" s="36">
        <v>0.95846383084252507</v>
      </c>
      <c r="B5" s="36">
        <v>1.3386068048186597</v>
      </c>
      <c r="C5" s="36">
        <v>1.5997119712392784</v>
      </c>
      <c r="D5" s="36">
        <v>0.31484252042611854</v>
      </c>
      <c r="E5" s="36">
        <v>2.7269290387134073</v>
      </c>
      <c r="F5" s="36">
        <v>10.887665315608013</v>
      </c>
      <c r="G5" s="36">
        <v>223.21245845727864</v>
      </c>
      <c r="H5" s="36">
        <v>15118.764417638871</v>
      </c>
      <c r="I5" s="36">
        <v>1679.2803203026531</v>
      </c>
      <c r="J5" s="36">
        <v>1.2397423312837434</v>
      </c>
      <c r="K5" s="36">
        <v>1.1652360644500471E-2</v>
      </c>
      <c r="L5" s="36">
        <v>1.0916946354886893E-2</v>
      </c>
      <c r="M5" s="36">
        <v>1.068399876557505E-2</v>
      </c>
      <c r="N5" s="36">
        <v>1.2013139982559038E-2</v>
      </c>
      <c r="O5" s="36">
        <v>1.2934002367678917E-2</v>
      </c>
      <c r="P5" s="36">
        <v>1.462321415236147E-2</v>
      </c>
      <c r="Q5" s="36">
        <v>1.4225965148872833E-2</v>
      </c>
      <c r="R5" s="36">
        <v>1.5381946340584911E-2</v>
      </c>
      <c r="S5" s="36">
        <v>1.57039840796219E-2</v>
      </c>
      <c r="T5" s="36">
        <v>1.9449588915756939E-2</v>
      </c>
      <c r="U5" s="36">
        <v>2.2325432850855753E-2</v>
      </c>
      <c r="V5" s="36">
        <v>3.1167201338284399E-2</v>
      </c>
      <c r="W5" s="36">
        <v>3.6468427053607824E-2</v>
      </c>
      <c r="X5" s="36">
        <v>3.7987045409495358E-2</v>
      </c>
      <c r="Y5" s="36">
        <v>2.6613245748209058E-3</v>
      </c>
      <c r="Z5" s="36">
        <v>1.3286475907500106E-3</v>
      </c>
      <c r="AA5" s="36">
        <v>1.2741583797765898E-3</v>
      </c>
      <c r="AB5" s="36">
        <v>1.868093869002236E-3</v>
      </c>
      <c r="AC5" s="36">
        <v>2.4793167180054134E-3</v>
      </c>
      <c r="AD5" s="36">
        <v>3.2703477705528228E-3</v>
      </c>
      <c r="AE5" s="36">
        <v>4.3146798184963064E-3</v>
      </c>
      <c r="AF5" s="36">
        <v>5.1772313619246405E-3</v>
      </c>
      <c r="AG5" s="36">
        <v>5.953502880052159E-3</v>
      </c>
      <c r="AH5" s="36">
        <v>7.31774463417396E-3</v>
      </c>
      <c r="AI5" s="36">
        <v>1.1856837083707021E-2</v>
      </c>
      <c r="AJ5" s="36">
        <v>2.110322499192907E-2</v>
      </c>
      <c r="AK5" s="36">
        <v>2.5711631655643621E-2</v>
      </c>
      <c r="AL5" s="36">
        <v>2.7050508320821558E-2</v>
      </c>
      <c r="AM5" s="36">
        <v>4.6851719057258356E-3</v>
      </c>
      <c r="AN5" s="36">
        <v>5.3128768155095386E-3</v>
      </c>
      <c r="AO5" s="36">
        <v>4.8671975354226847E-3</v>
      </c>
      <c r="AP5" s="36">
        <v>5.6292442583035481E-3</v>
      </c>
      <c r="AQ5" s="36">
        <v>5.9747036508907055E-3</v>
      </c>
      <c r="AR5" s="36">
        <v>5.773777932167698E-3</v>
      </c>
      <c r="AS5" s="36">
        <v>7.0522508317732314E-3</v>
      </c>
      <c r="AT5" s="36">
        <v>8.4838617464970158E-3</v>
      </c>
      <c r="AU5" s="36">
        <v>9.0511296011973573E-3</v>
      </c>
      <c r="AV5" s="36">
        <v>1.0800529404231155E-2</v>
      </c>
      <c r="AW5" s="36">
        <v>1.6547659721179667E-2</v>
      </c>
      <c r="AX5" s="36">
        <v>2.7403003355592138E-2</v>
      </c>
      <c r="AY5" s="36">
        <v>3.2649808107597426E-2</v>
      </c>
      <c r="AZ5" s="36">
        <v>3.457687587595059E-2</v>
      </c>
      <c r="BA5" s="36">
        <v>8.6184587270366451E-4</v>
      </c>
      <c r="BB5" s="36">
        <v>1.86906468099418E-3</v>
      </c>
      <c r="BC5" s="36">
        <v>1.8504982985831011E-3</v>
      </c>
      <c r="BD5" s="36">
        <v>2.4607379240635689E-3</v>
      </c>
      <c r="BE5" s="36">
        <v>2.9733285835144086E-3</v>
      </c>
      <c r="BF5" s="36">
        <v>3.2605408043978484E-3</v>
      </c>
      <c r="BG5" s="36">
        <v>4.8346455518733875E-3</v>
      </c>
      <c r="BH5" s="36">
        <v>6.2934697403530951E-3</v>
      </c>
      <c r="BI5" s="36">
        <v>5.0939827293614908E-3</v>
      </c>
      <c r="BJ5" s="36">
        <v>6.4218352617251223E-3</v>
      </c>
      <c r="BK5" s="36">
        <v>1.2311952983299341E-2</v>
      </c>
      <c r="BL5" s="36">
        <v>2.835253266505287E-2</v>
      </c>
      <c r="BM5" s="36">
        <v>3.436844709581266E-2</v>
      </c>
      <c r="BN5" s="36">
        <v>3.6940832308885022E-2</v>
      </c>
    </row>
    <row r="6" spans="1:66">
      <c r="A6" s="36">
        <v>0.9733038564748373</v>
      </c>
      <c r="B6" s="36">
        <v>1.3502084382113764</v>
      </c>
      <c r="C6" s="36">
        <v>1.6234580679613098</v>
      </c>
      <c r="D6" s="36">
        <v>0.32109920346517656</v>
      </c>
      <c r="E6" s="36">
        <v>2.8120472712240709</v>
      </c>
      <c r="F6" s="36">
        <v>10.810672448883555</v>
      </c>
      <c r="G6" s="36">
        <v>221.86729879640922</v>
      </c>
      <c r="H6" s="36">
        <v>15118.769645840166</v>
      </c>
      <c r="I6" s="36">
        <v>1679.2841310737722</v>
      </c>
      <c r="J6" s="36">
        <v>1.2674500838158593</v>
      </c>
      <c r="K6" s="36">
        <v>1.1267299583675148E-2</v>
      </c>
      <c r="L6" s="36">
        <v>1.0961453605778916E-2</v>
      </c>
      <c r="M6" s="36">
        <v>1.0898091238980565E-2</v>
      </c>
      <c r="N6" s="36">
        <v>1.226884282295896E-2</v>
      </c>
      <c r="O6" s="36">
        <v>1.3079214551105578E-2</v>
      </c>
      <c r="P6" s="36">
        <v>1.4762479638574943E-2</v>
      </c>
      <c r="Q6" s="36">
        <v>1.4393534605775417E-2</v>
      </c>
      <c r="R6" s="36">
        <v>1.4390445843349427E-2</v>
      </c>
      <c r="S6" s="36">
        <v>1.6163958860858658E-2</v>
      </c>
      <c r="T6" s="36">
        <v>2.0071520710587671E-2</v>
      </c>
      <c r="U6" s="36">
        <v>2.2925270096507442E-2</v>
      </c>
      <c r="V6" s="36">
        <v>3.1719370943388253E-2</v>
      </c>
      <c r="W6" s="36">
        <v>3.6817912742496593E-2</v>
      </c>
      <c r="X6" s="36">
        <v>3.8250824660622677E-2</v>
      </c>
      <c r="Y6" s="36">
        <v>2.3240971483517356E-3</v>
      </c>
      <c r="Z6" s="36">
        <v>1.4477666290580661E-3</v>
      </c>
      <c r="AA6" s="36">
        <v>1.3042491373130741E-3</v>
      </c>
      <c r="AB6" s="36">
        <v>1.9237559712778644E-3</v>
      </c>
      <c r="AC6" s="36">
        <v>2.5266369154310167E-3</v>
      </c>
      <c r="AD6" s="36">
        <v>3.304767315095691E-3</v>
      </c>
      <c r="AE6" s="36">
        <v>4.3516166499366704E-3</v>
      </c>
      <c r="AF6" s="36">
        <v>5.2318585278452977E-3</v>
      </c>
      <c r="AG6" s="36">
        <v>6.1226950937433152E-3</v>
      </c>
      <c r="AH6" s="36">
        <v>7.5748044261441166E-3</v>
      </c>
      <c r="AI6" s="36">
        <v>1.2249740219398153E-2</v>
      </c>
      <c r="AJ6" s="36">
        <v>2.1494712805338288E-2</v>
      </c>
      <c r="AK6" s="36">
        <v>2.5946513528071626E-2</v>
      </c>
      <c r="AL6" s="36">
        <v>2.7219640746338855E-2</v>
      </c>
      <c r="AM6" s="36">
        <v>4.7165405983256858E-3</v>
      </c>
      <c r="AN6" s="36">
        <v>5.3804158078543489E-3</v>
      </c>
      <c r="AO6" s="36">
        <v>4.8877954501091222E-3</v>
      </c>
      <c r="AP6" s="36">
        <v>5.6472667889333646E-3</v>
      </c>
      <c r="AQ6" s="36">
        <v>5.9903153326179353E-3</v>
      </c>
      <c r="AR6" s="36">
        <v>5.8082201468882579E-3</v>
      </c>
      <c r="AS6" s="36">
        <v>7.1165258195363462E-3</v>
      </c>
      <c r="AT6" s="36">
        <v>8.571686929416962E-3</v>
      </c>
      <c r="AU6" s="36">
        <v>9.4491403211188606E-3</v>
      </c>
      <c r="AV6" s="36">
        <v>1.1398072215861043E-2</v>
      </c>
      <c r="AW6" s="36">
        <v>1.7343726945999057E-2</v>
      </c>
      <c r="AX6" s="36">
        <v>2.7870564637474244E-2</v>
      </c>
      <c r="AY6" s="36">
        <v>3.2852087549866633E-2</v>
      </c>
      <c r="AZ6" s="36">
        <v>3.4621853909153143E-2</v>
      </c>
      <c r="BA6" s="36">
        <v>1.1059153278408437E-3</v>
      </c>
      <c r="BB6" s="36">
        <v>1.8410715579193989E-3</v>
      </c>
      <c r="BC6" s="36">
        <v>1.8750612394963532E-3</v>
      </c>
      <c r="BD6" s="36">
        <v>2.5357839558715566E-3</v>
      </c>
      <c r="BE6" s="36">
        <v>3.0233926228452682E-3</v>
      </c>
      <c r="BF6" s="36">
        <v>3.3050658213243426E-3</v>
      </c>
      <c r="BG6" s="36">
        <v>4.9286622645654012E-3</v>
      </c>
      <c r="BH6" s="36">
        <v>6.4341104213051616E-3</v>
      </c>
      <c r="BI6" s="36">
        <v>5.2826110619983418E-3</v>
      </c>
      <c r="BJ6" s="36">
        <v>6.8187899073917958E-3</v>
      </c>
      <c r="BK6" s="36">
        <v>1.2946513027667686E-2</v>
      </c>
      <c r="BL6" s="36">
        <v>2.919426406791966E-2</v>
      </c>
      <c r="BM6" s="36">
        <v>3.5188358057298405E-2</v>
      </c>
      <c r="BN6" s="36">
        <v>3.7690395981706225E-2</v>
      </c>
    </row>
    <row r="7" spans="1:66">
      <c r="A7" s="36">
        <v>0.96816627693913782</v>
      </c>
      <c r="B7" s="36">
        <v>1.345805271519952</v>
      </c>
      <c r="C7" s="36">
        <v>1.6136000577369654</v>
      </c>
      <c r="D7" s="36">
        <v>0.3191539468098506</v>
      </c>
      <c r="E7" s="36">
        <v>2.7878966977647814</v>
      </c>
      <c r="F7" s="36">
        <v>10.634547563026668</v>
      </c>
      <c r="G7" s="36">
        <v>223.11915822755799</v>
      </c>
      <c r="H7" s="36">
        <v>15118.76745247184</v>
      </c>
      <c r="I7" s="36">
        <v>1679.2863280729985</v>
      </c>
      <c r="J7" s="36">
        <v>1.2636989415869286</v>
      </c>
      <c r="K7" s="36">
        <v>1.117865548121052E-2</v>
      </c>
      <c r="L7" s="36">
        <v>1.1475562906641704E-2</v>
      </c>
      <c r="M7" s="36">
        <v>1.0671246892271032E-2</v>
      </c>
      <c r="N7" s="36">
        <v>1.2041793828557617E-2</v>
      </c>
      <c r="O7" s="36">
        <v>1.2955012268816095E-2</v>
      </c>
      <c r="P7" s="36">
        <v>1.4700063298978544E-2</v>
      </c>
      <c r="Q7" s="36">
        <v>1.4294904203933506E-2</v>
      </c>
      <c r="R7" s="36">
        <v>1.5217968305837649E-2</v>
      </c>
      <c r="S7" s="36">
        <v>1.5846361286170466E-2</v>
      </c>
      <c r="T7" s="36">
        <v>1.9627758961904936E-2</v>
      </c>
      <c r="U7" s="36">
        <v>2.245664624572458E-2</v>
      </c>
      <c r="V7" s="36">
        <v>3.1161710232627569E-2</v>
      </c>
      <c r="W7" s="36">
        <v>3.6331677232939577E-2</v>
      </c>
      <c r="X7" s="36">
        <v>3.7791222885293775E-2</v>
      </c>
      <c r="Y7" s="36">
        <v>1.4580377503744587E-3</v>
      </c>
      <c r="Z7" s="36">
        <v>1.6108282835370466E-3</v>
      </c>
      <c r="AA7" s="36">
        <v>1.3567870514302053E-3</v>
      </c>
      <c r="AB7" s="36">
        <v>1.9682709995445823E-3</v>
      </c>
      <c r="AC7" s="36">
        <v>2.5727363140112245E-3</v>
      </c>
      <c r="AD7" s="36">
        <v>3.3853171281752036E-3</v>
      </c>
      <c r="AE7" s="36">
        <v>4.4217527592771656E-3</v>
      </c>
      <c r="AF7" s="36">
        <v>5.2897938021222298E-3</v>
      </c>
      <c r="AG7" s="36">
        <v>5.8472217662768359E-3</v>
      </c>
      <c r="AH7" s="36">
        <v>7.2554291724393084E-3</v>
      </c>
      <c r="AI7" s="36">
        <v>1.1817848082159445E-2</v>
      </c>
      <c r="AJ7" s="36">
        <v>2.0890304575781529E-2</v>
      </c>
      <c r="AK7" s="36">
        <v>2.5434755465503354E-2</v>
      </c>
      <c r="AL7" s="36">
        <v>2.6641901170475945E-2</v>
      </c>
      <c r="AM7" s="36">
        <v>4.7912408899205249E-3</v>
      </c>
      <c r="AN7" s="36">
        <v>5.4461825162652206E-3</v>
      </c>
      <c r="AO7" s="36">
        <v>4.9091952848833017E-3</v>
      </c>
      <c r="AP7" s="36">
        <v>5.6613384116279159E-3</v>
      </c>
      <c r="AQ7" s="36">
        <v>5.9971937101200032E-3</v>
      </c>
      <c r="AR7" s="36">
        <v>5.8440068772222112E-3</v>
      </c>
      <c r="AS7" s="36">
        <v>7.1800393146174953E-3</v>
      </c>
      <c r="AT7" s="36">
        <v>8.6469577199650254E-3</v>
      </c>
      <c r="AU7" s="36">
        <v>9.1853727346120732E-3</v>
      </c>
      <c r="AV7" s="36">
        <v>1.1109185188585372E-2</v>
      </c>
      <c r="AW7" s="36">
        <v>1.7128312524654275E-2</v>
      </c>
      <c r="AX7" s="36">
        <v>2.7709298203287595E-2</v>
      </c>
      <c r="AY7" s="36">
        <v>3.2685095810717067E-2</v>
      </c>
      <c r="AZ7" s="36">
        <v>3.4430079771552796E-2</v>
      </c>
      <c r="BA7" s="36">
        <v>1.3972481740789715E-3</v>
      </c>
      <c r="BB7" s="36">
        <v>1.9502953716094861E-3</v>
      </c>
      <c r="BC7" s="36">
        <v>1.9287238150180492E-3</v>
      </c>
      <c r="BD7" s="36">
        <v>2.5668552018389456E-3</v>
      </c>
      <c r="BE7" s="36">
        <v>3.0534609613151061E-3</v>
      </c>
      <c r="BF7" s="36">
        <v>3.3604101077127028E-3</v>
      </c>
      <c r="BG7" s="36">
        <v>4.9564829540153666E-3</v>
      </c>
      <c r="BH7" s="36">
        <v>6.4202780646919859E-3</v>
      </c>
      <c r="BI7" s="36">
        <v>5.1744562210902937E-3</v>
      </c>
      <c r="BJ7" s="36">
        <v>6.6433276063160374E-3</v>
      </c>
      <c r="BK7" s="36">
        <v>1.2722708055972906E-2</v>
      </c>
      <c r="BL7" s="36">
        <v>2.8662340536800092E-2</v>
      </c>
      <c r="BM7" s="36">
        <v>3.4715156172253063E-2</v>
      </c>
      <c r="BN7" s="36">
        <v>3.7069702883374273E-2</v>
      </c>
    </row>
    <row r="8" spans="1:66">
      <c r="A8" s="36">
        <v>0.96523939321251462</v>
      </c>
      <c r="B8" s="36">
        <v>1.3501034160074405</v>
      </c>
      <c r="C8" s="36">
        <v>1.614780020125373</v>
      </c>
      <c r="D8" s="36">
        <v>0.31934433665157846</v>
      </c>
      <c r="E8" s="36">
        <v>2.7868928540988258</v>
      </c>
      <c r="F8" s="36">
        <v>10.596974409225668</v>
      </c>
      <c r="G8" s="36">
        <v>229.03927635336677</v>
      </c>
      <c r="H8" s="36">
        <v>15118.76263248613</v>
      </c>
      <c r="I8" s="36">
        <v>1679.282223590629</v>
      </c>
      <c r="J8" s="36">
        <v>1.2370219248677028</v>
      </c>
      <c r="K8" s="36">
        <v>1.1657714389850716E-2</v>
      </c>
      <c r="L8" s="36">
        <v>1.1054896671496492E-2</v>
      </c>
      <c r="M8" s="36">
        <v>1.0392087123131206E-2</v>
      </c>
      <c r="N8" s="36">
        <v>1.1748464830442262E-2</v>
      </c>
      <c r="O8" s="36">
        <v>1.265657981433085E-2</v>
      </c>
      <c r="P8" s="36">
        <v>1.4361884744790811E-2</v>
      </c>
      <c r="Q8" s="36">
        <v>1.3963903990318792E-2</v>
      </c>
      <c r="R8" s="36">
        <v>1.4788821443375923E-2</v>
      </c>
      <c r="S8" s="36">
        <v>1.5508354586738358E-2</v>
      </c>
      <c r="T8" s="36">
        <v>1.9200622008422454E-2</v>
      </c>
      <c r="U8" s="36">
        <v>2.1958553424743978E-2</v>
      </c>
      <c r="V8" s="36">
        <v>3.0748461790180242E-2</v>
      </c>
      <c r="W8" s="36">
        <v>3.6069147037445522E-2</v>
      </c>
      <c r="X8" s="36">
        <v>3.7591281973778479E-2</v>
      </c>
      <c r="Y8" s="36">
        <v>1.1476802870720015E-3</v>
      </c>
      <c r="Z8" s="36">
        <v>1.4554562798220851E-3</v>
      </c>
      <c r="AA8" s="36">
        <v>1.2949174656662853E-3</v>
      </c>
      <c r="AB8" s="36">
        <v>1.9250805022866788E-3</v>
      </c>
      <c r="AC8" s="36">
        <v>2.5259098578043209E-3</v>
      </c>
      <c r="AD8" s="36">
        <v>3.3187539054474113E-3</v>
      </c>
      <c r="AE8" s="36">
        <v>4.3445397408997154E-3</v>
      </c>
      <c r="AF8" s="36">
        <v>5.1852716185481146E-3</v>
      </c>
      <c r="AG8" s="36">
        <v>5.6375663806488762E-3</v>
      </c>
      <c r="AH8" s="36">
        <v>6.9214021991270049E-3</v>
      </c>
      <c r="AI8" s="36">
        <v>1.1381593434740152E-2</v>
      </c>
      <c r="AJ8" s="36">
        <v>2.061012826759864E-2</v>
      </c>
      <c r="AK8" s="36">
        <v>2.5260349529362854E-2</v>
      </c>
      <c r="AL8" s="36">
        <v>2.6600432072328525E-2</v>
      </c>
      <c r="AM8" s="36">
        <v>4.8248442372678642E-3</v>
      </c>
      <c r="AN8" s="36">
        <v>5.4055777133588867E-3</v>
      </c>
      <c r="AO8" s="36">
        <v>4.8857708325888306E-3</v>
      </c>
      <c r="AP8" s="36">
        <v>5.6492769681483661E-3</v>
      </c>
      <c r="AQ8" s="36">
        <v>5.9871631544779888E-3</v>
      </c>
      <c r="AR8" s="36">
        <v>5.8058195441811865E-3</v>
      </c>
      <c r="AS8" s="36">
        <v>7.0919285556648301E-3</v>
      </c>
      <c r="AT8" s="36">
        <v>8.5106467477314117E-3</v>
      </c>
      <c r="AU8" s="36">
        <v>8.8811334736359493E-3</v>
      </c>
      <c r="AV8" s="36">
        <v>1.0506203021993546E-2</v>
      </c>
      <c r="AW8" s="36">
        <v>1.6212404612993732E-2</v>
      </c>
      <c r="AX8" s="36">
        <v>2.6989627452450652E-2</v>
      </c>
      <c r="AY8" s="36">
        <v>3.2229028873583219E-2</v>
      </c>
      <c r="AZ8" s="36">
        <v>3.4202732597639673E-2</v>
      </c>
      <c r="BA8" s="36">
        <v>1.0197322164439936E-3</v>
      </c>
      <c r="BB8" s="36">
        <v>1.7986825392778689E-3</v>
      </c>
      <c r="BC8" s="36">
        <v>1.8545382838417977E-3</v>
      </c>
      <c r="BD8" s="36">
        <v>2.512508210598779E-3</v>
      </c>
      <c r="BE8" s="36">
        <v>3.0091373051536596E-3</v>
      </c>
      <c r="BF8" s="36">
        <v>3.2985380952976068E-3</v>
      </c>
      <c r="BG8" s="36">
        <v>4.8540223205423552E-3</v>
      </c>
      <c r="BH8" s="36">
        <v>6.2843709483615144E-3</v>
      </c>
      <c r="BI8" s="36">
        <v>4.9584743266744592E-3</v>
      </c>
      <c r="BJ8" s="36">
        <v>6.2561096548369713E-3</v>
      </c>
      <c r="BK8" s="36">
        <v>1.2190441466615853E-2</v>
      </c>
      <c r="BL8" s="36">
        <v>2.809315436154167E-2</v>
      </c>
      <c r="BM8" s="36">
        <v>3.4144682086300296E-2</v>
      </c>
      <c r="BN8" s="36">
        <v>3.6651398505560817E-2</v>
      </c>
    </row>
    <row r="9" spans="1:66">
      <c r="A9" s="36">
        <v>0.97253271753381998</v>
      </c>
      <c r="B9" s="36">
        <v>1.3536440024064811</v>
      </c>
      <c r="C9" s="36">
        <v>1.6228363674629585</v>
      </c>
      <c r="D9" s="36">
        <v>0.32252213988652778</v>
      </c>
      <c r="E9" s="36">
        <v>2.7899048291353274</v>
      </c>
      <c r="F9" s="36">
        <v>10.648760672833655</v>
      </c>
      <c r="G9" s="36">
        <v>223.12538370003082</v>
      </c>
      <c r="H9" s="36">
        <v>15118.760380247058</v>
      </c>
      <c r="I9" s="36">
        <v>1679.2810671813054</v>
      </c>
      <c r="J9" s="36">
        <v>1.2606127343174671</v>
      </c>
      <c r="K9" s="36">
        <v>1.1139014060133191E-2</v>
      </c>
      <c r="L9" s="36">
        <v>1.0908268861509649E-2</v>
      </c>
      <c r="M9" s="36">
        <v>1.0443628335774998E-2</v>
      </c>
      <c r="N9" s="36">
        <v>1.1755639003063013E-2</v>
      </c>
      <c r="O9" s="36">
        <v>1.264817190679606E-2</v>
      </c>
      <c r="P9" s="36">
        <v>1.4448709489548222E-2</v>
      </c>
      <c r="Q9" s="36">
        <v>1.409899430857476E-2</v>
      </c>
      <c r="R9" s="36">
        <v>1.5590425563399872E-2</v>
      </c>
      <c r="S9" s="36">
        <v>1.6075991835257424E-2</v>
      </c>
      <c r="T9" s="36">
        <v>2.0001477919267274E-2</v>
      </c>
      <c r="U9" s="36">
        <v>2.2969061934299855E-2</v>
      </c>
      <c r="V9" s="36">
        <v>3.1805481539238477E-2</v>
      </c>
      <c r="W9" s="36">
        <v>3.7087742030151138E-2</v>
      </c>
      <c r="X9" s="36">
        <v>3.8533376322367592E-2</v>
      </c>
      <c r="Y9" s="36">
        <v>1.6351306186280596E-3</v>
      </c>
      <c r="Z9" s="36">
        <v>1.4867282909314132E-3</v>
      </c>
      <c r="AA9" s="36">
        <v>1.2969084711763543E-3</v>
      </c>
      <c r="AB9" s="36">
        <v>1.9169386275736818E-3</v>
      </c>
      <c r="AC9" s="36">
        <v>2.5522077322854626E-3</v>
      </c>
      <c r="AD9" s="36">
        <v>3.3554106687962242E-3</v>
      </c>
      <c r="AE9" s="36">
        <v>4.384223528906825E-3</v>
      </c>
      <c r="AF9" s="36">
        <v>5.237455740881288E-3</v>
      </c>
      <c r="AG9" s="36">
        <v>6.0166624721539009E-3</v>
      </c>
      <c r="AH9" s="36">
        <v>7.423477650795777E-3</v>
      </c>
      <c r="AI9" s="36">
        <v>1.2022399570486951E-2</v>
      </c>
      <c r="AJ9" s="36">
        <v>2.1185390781805123E-2</v>
      </c>
      <c r="AK9" s="36">
        <v>2.5745415924050406E-2</v>
      </c>
      <c r="AL9" s="36">
        <v>2.7038848221842271E-2</v>
      </c>
      <c r="AM9" s="36">
        <v>4.7450651854643753E-3</v>
      </c>
      <c r="AN9" s="36">
        <v>5.4916479631675168E-3</v>
      </c>
      <c r="AO9" s="36">
        <v>4.9048753227305415E-3</v>
      </c>
      <c r="AP9" s="36">
        <v>5.6580803904290296E-3</v>
      </c>
      <c r="AQ9" s="36">
        <v>5.9972353257115602E-3</v>
      </c>
      <c r="AR9" s="36">
        <v>5.8312050814765129E-3</v>
      </c>
      <c r="AS9" s="36">
        <v>7.1492624889930309E-3</v>
      </c>
      <c r="AT9" s="36">
        <v>8.5999885486079137E-3</v>
      </c>
      <c r="AU9" s="36">
        <v>9.2812064420725888E-3</v>
      </c>
      <c r="AV9" s="36">
        <v>1.1127188094986076E-2</v>
      </c>
      <c r="AW9" s="36">
        <v>1.7099805213409307E-2</v>
      </c>
      <c r="AX9" s="36">
        <v>2.774210723559347E-2</v>
      </c>
      <c r="AY9" s="36">
        <v>3.2787281988344838E-2</v>
      </c>
      <c r="AZ9" s="36">
        <v>3.4593126059700309E-2</v>
      </c>
      <c r="BA9" s="36">
        <v>9.6000596404714029E-4</v>
      </c>
      <c r="BB9" s="36">
        <v>2.0376349007882573E-3</v>
      </c>
      <c r="BC9" s="36">
        <v>1.9057128311676238E-3</v>
      </c>
      <c r="BD9" s="36">
        <v>2.5465651958686219E-3</v>
      </c>
      <c r="BE9" s="36">
        <v>3.0462091632071334E-3</v>
      </c>
      <c r="BF9" s="36">
        <v>3.3350916360425776E-3</v>
      </c>
      <c r="BG9" s="36">
        <v>4.9262380411387689E-3</v>
      </c>
      <c r="BH9" s="36">
        <v>6.3893695490331347E-3</v>
      </c>
      <c r="BI9" s="36">
        <v>5.3872930021450797E-3</v>
      </c>
      <c r="BJ9" s="36">
        <v>6.8539417854134319E-3</v>
      </c>
      <c r="BK9" s="36">
        <v>1.3098073295195538E-2</v>
      </c>
      <c r="BL9" s="36">
        <v>2.9163808510771071E-2</v>
      </c>
      <c r="BM9" s="36">
        <v>3.5066643130096116E-2</v>
      </c>
      <c r="BN9" s="36">
        <v>3.7444280385490018E-2</v>
      </c>
    </row>
    <row r="10" spans="1:66">
      <c r="A10" s="36">
        <v>0.96380097126576947</v>
      </c>
      <c r="B10" s="36">
        <v>1.345613618543511</v>
      </c>
      <c r="C10" s="36">
        <v>1.6043517247271561</v>
      </c>
      <c r="D10" s="36">
        <v>0.31843174417645548</v>
      </c>
      <c r="E10" s="36">
        <v>2.7556045294177363</v>
      </c>
      <c r="F10" s="36">
        <v>10.685865109796211</v>
      </c>
      <c r="G10" s="36">
        <v>223.02293942468782</v>
      </c>
      <c r="H10" s="36">
        <v>15118.759567434892</v>
      </c>
      <c r="I10" s="36">
        <v>1679.2756529472247</v>
      </c>
      <c r="J10" s="36">
        <v>1.2415100956936718</v>
      </c>
      <c r="K10" s="36">
        <v>1.1352517769119655E-2</v>
      </c>
      <c r="L10" s="36">
        <v>1.1003464611742429E-2</v>
      </c>
      <c r="M10" s="36">
        <v>1.0660436245883188E-2</v>
      </c>
      <c r="N10" s="36">
        <v>1.1943058117885534E-2</v>
      </c>
      <c r="O10" s="36">
        <v>1.2827313604393934E-2</v>
      </c>
      <c r="P10" s="36">
        <v>1.4481929249376918E-2</v>
      </c>
      <c r="Q10" s="36">
        <v>1.4169294924058691E-2</v>
      </c>
      <c r="R10" s="36">
        <v>1.5230807876656103E-2</v>
      </c>
      <c r="S10" s="36">
        <v>1.585576994346875E-2</v>
      </c>
      <c r="T10" s="36">
        <v>1.9636366664794239E-2</v>
      </c>
      <c r="U10" s="36">
        <v>2.2410166307958959E-2</v>
      </c>
      <c r="V10" s="36">
        <v>3.1263223959439139E-2</v>
      </c>
      <c r="W10" s="36">
        <v>3.6549959016719882E-2</v>
      </c>
      <c r="X10" s="36">
        <v>3.8024768619917923E-2</v>
      </c>
      <c r="Y10" s="36">
        <v>1.3542324015880299E-3</v>
      </c>
      <c r="Z10" s="36">
        <v>1.2737245837262407E-3</v>
      </c>
      <c r="AA10" s="36">
        <v>1.2658630896067041E-3</v>
      </c>
      <c r="AB10" s="36">
        <v>1.8967262887872528E-3</v>
      </c>
      <c r="AC10" s="36">
        <v>2.5124961220002249E-3</v>
      </c>
      <c r="AD10" s="36">
        <v>3.3171771127510456E-3</v>
      </c>
      <c r="AE10" s="36">
        <v>4.3476774057129731E-3</v>
      </c>
      <c r="AF10" s="36">
        <v>5.220762290403024E-3</v>
      </c>
      <c r="AG10" s="36">
        <v>5.9135453768787063E-3</v>
      </c>
      <c r="AH10" s="36">
        <v>7.2889697707195656E-3</v>
      </c>
      <c r="AI10" s="36">
        <v>1.180993278042247E-2</v>
      </c>
      <c r="AJ10" s="36">
        <v>2.0979354118364706E-2</v>
      </c>
      <c r="AK10" s="36">
        <v>2.5607122161447171E-2</v>
      </c>
      <c r="AL10" s="36">
        <v>2.6848310589173339E-2</v>
      </c>
      <c r="AM10" s="36">
        <v>4.7704413462390091E-3</v>
      </c>
      <c r="AN10" s="36">
        <v>5.1884243067553517E-3</v>
      </c>
      <c r="AO10" s="36">
        <v>4.8367169495777884E-3</v>
      </c>
      <c r="AP10" s="36">
        <v>5.6206943495656801E-3</v>
      </c>
      <c r="AQ10" s="36">
        <v>5.9747608294039726E-3</v>
      </c>
      <c r="AR10" s="36">
        <v>5.7950784650076777E-3</v>
      </c>
      <c r="AS10" s="36">
        <v>7.0960486823938998E-3</v>
      </c>
      <c r="AT10" s="36">
        <v>8.5359311518068328E-3</v>
      </c>
      <c r="AU10" s="36">
        <v>9.0681533925008797E-3</v>
      </c>
      <c r="AV10" s="36">
        <v>1.0792380254987504E-2</v>
      </c>
      <c r="AW10" s="36">
        <v>1.6550705699846489E-2</v>
      </c>
      <c r="AX10" s="36">
        <v>2.7214682257963443E-2</v>
      </c>
      <c r="AY10" s="36">
        <v>3.2342124966817105E-2</v>
      </c>
      <c r="AZ10" s="36">
        <v>3.4307462035195795E-2</v>
      </c>
      <c r="BA10" s="36">
        <v>1.0612789039989982E-3</v>
      </c>
      <c r="BB10" s="36">
        <v>1.3679136823481755E-3</v>
      </c>
      <c r="BC10" s="36">
        <v>1.7243180926596856E-3</v>
      </c>
      <c r="BD10" s="36">
        <v>2.4457463166253066E-3</v>
      </c>
      <c r="BE10" s="36">
        <v>2.9696284775009092E-3</v>
      </c>
      <c r="BF10" s="36">
        <v>3.277362943133166E-3</v>
      </c>
      <c r="BG10" s="36">
        <v>4.8821950723401675E-3</v>
      </c>
      <c r="BH10" s="36">
        <v>6.3665953376401485E-3</v>
      </c>
      <c r="BI10" s="36">
        <v>5.2345340716952165E-3</v>
      </c>
      <c r="BJ10" s="36">
        <v>6.615349701859851E-3</v>
      </c>
      <c r="BK10" s="36">
        <v>1.2640828644173931E-2</v>
      </c>
      <c r="BL10" s="36">
        <v>2.8692644734655014E-2</v>
      </c>
      <c r="BM10" s="36">
        <v>3.4702640331555679E-2</v>
      </c>
      <c r="BN10" s="36">
        <v>3.7244797313614526E-2</v>
      </c>
    </row>
    <row r="11" spans="1:66">
      <c r="A11" s="36">
        <v>0.96872764174475645</v>
      </c>
      <c r="B11" s="36">
        <v>1.3466517984706705</v>
      </c>
      <c r="C11" s="36">
        <v>1.6129698581862295</v>
      </c>
      <c r="D11" s="36">
        <v>0.31826780650353514</v>
      </c>
      <c r="E11" s="36">
        <v>2.7313362931563048</v>
      </c>
      <c r="F11" s="36">
        <v>10.604201898473468</v>
      </c>
      <c r="G11" s="36">
        <v>227.05020470962137</v>
      </c>
      <c r="H11" s="36">
        <v>15118.763110047859</v>
      </c>
      <c r="I11" s="36">
        <v>1679.2796200144924</v>
      </c>
      <c r="J11" s="36">
        <v>1.2386001557610131</v>
      </c>
      <c r="K11" s="36">
        <v>1.074667358723172E-2</v>
      </c>
      <c r="L11" s="36">
        <v>1.09528742837593E-2</v>
      </c>
      <c r="M11" s="36">
        <v>1.0885724997385413E-2</v>
      </c>
      <c r="N11" s="36">
        <v>1.2192109940342871E-2</v>
      </c>
      <c r="O11" s="36">
        <v>1.3064821761693919E-2</v>
      </c>
      <c r="P11" s="36">
        <v>1.4784338917830068E-2</v>
      </c>
      <c r="Q11" s="36">
        <v>1.4421466578137693E-2</v>
      </c>
      <c r="R11" s="36">
        <v>1.5109938879261613E-2</v>
      </c>
      <c r="S11" s="36">
        <v>1.6142225502653082E-2</v>
      </c>
      <c r="T11" s="36">
        <v>2.0045050575754016E-2</v>
      </c>
      <c r="U11" s="36">
        <v>2.298233099367138E-2</v>
      </c>
      <c r="V11" s="36">
        <v>3.1840863467635983E-2</v>
      </c>
      <c r="W11" s="36">
        <v>3.709483599103941E-2</v>
      </c>
      <c r="X11" s="36">
        <v>3.8550562103515561E-2</v>
      </c>
      <c r="Y11" s="36">
        <v>1.6365863828493954E-3</v>
      </c>
      <c r="Z11" s="36">
        <v>1.3016015522962852E-3</v>
      </c>
      <c r="AA11" s="36">
        <v>1.2535655596194032E-3</v>
      </c>
      <c r="AB11" s="36">
        <v>1.8415388542347285E-3</v>
      </c>
      <c r="AC11" s="36">
        <v>2.4589926099324111E-3</v>
      </c>
      <c r="AD11" s="36">
        <v>3.2682846688053217E-3</v>
      </c>
      <c r="AE11" s="36">
        <v>4.3270049669822015E-3</v>
      </c>
      <c r="AF11" s="36">
        <v>5.2134736900047397E-3</v>
      </c>
      <c r="AG11" s="36">
        <v>6.0107492844263602E-3</v>
      </c>
      <c r="AH11" s="36">
        <v>7.4562657072500572E-3</v>
      </c>
      <c r="AI11" s="36">
        <v>1.205766105255064E-2</v>
      </c>
      <c r="AJ11" s="36">
        <v>2.1334173051078931E-2</v>
      </c>
      <c r="AK11" s="36">
        <v>2.5861311692501741E-2</v>
      </c>
      <c r="AL11" s="36">
        <v>2.7158986955499329E-2</v>
      </c>
      <c r="AM11" s="36">
        <v>4.7179480101076704E-3</v>
      </c>
      <c r="AN11" s="36">
        <v>5.2956748663612148E-3</v>
      </c>
      <c r="AO11" s="36">
        <v>4.8624004539452445E-3</v>
      </c>
      <c r="AP11" s="36">
        <v>5.6235032658227754E-3</v>
      </c>
      <c r="AQ11" s="36">
        <v>5.9666072272198719E-3</v>
      </c>
      <c r="AR11" s="36">
        <v>5.7716562138817786E-3</v>
      </c>
      <c r="AS11" s="36">
        <v>7.0599072099193179E-3</v>
      </c>
      <c r="AT11" s="36">
        <v>8.5102480042420058E-3</v>
      </c>
      <c r="AU11" s="36">
        <v>9.2202462152941398E-3</v>
      </c>
      <c r="AV11" s="36">
        <v>1.1126037298040823E-2</v>
      </c>
      <c r="AW11" s="36">
        <v>1.6983288649113918E-2</v>
      </c>
      <c r="AX11" s="36">
        <v>2.7742969814979604E-2</v>
      </c>
      <c r="AY11" s="36">
        <v>3.2798066577844572E-2</v>
      </c>
      <c r="AZ11" s="36">
        <v>3.4569548371004205E-2</v>
      </c>
      <c r="BA11" s="36">
        <v>1.0960518095874748E-3</v>
      </c>
      <c r="BB11" s="36">
        <v>1.7830415889944107E-3</v>
      </c>
      <c r="BC11" s="36">
        <v>1.8237489267042318E-3</v>
      </c>
      <c r="BD11" s="36">
        <v>2.4446737755927429E-3</v>
      </c>
      <c r="BE11" s="36">
        <v>2.9523411027685947E-3</v>
      </c>
      <c r="BF11" s="36">
        <v>3.2539256870909826E-3</v>
      </c>
      <c r="BG11" s="36">
        <v>4.846449141398622E-3</v>
      </c>
      <c r="BH11" s="36">
        <v>6.3265610707931505E-3</v>
      </c>
      <c r="BI11" s="36">
        <v>5.2955886554789944E-3</v>
      </c>
      <c r="BJ11" s="36">
        <v>6.7281566716183632E-3</v>
      </c>
      <c r="BK11" s="36">
        <v>1.283115003409971E-2</v>
      </c>
      <c r="BL11" s="36">
        <v>2.9075942481436249E-2</v>
      </c>
      <c r="BM11" s="36">
        <v>3.5159822412270135E-2</v>
      </c>
      <c r="BN11" s="36">
        <v>3.7701825346216147E-2</v>
      </c>
    </row>
    <row r="12" spans="1:66">
      <c r="A12" s="36">
        <v>0.96979922861401813</v>
      </c>
      <c r="B12" s="36">
        <v>1.3469636405021459</v>
      </c>
      <c r="C12" s="36">
        <v>1.6180749700706087</v>
      </c>
      <c r="D12" s="36">
        <v>0.31996721207072876</v>
      </c>
      <c r="E12" s="36">
        <v>2.7895109520352803</v>
      </c>
      <c r="F12" s="36">
        <v>10.662079634952692</v>
      </c>
      <c r="G12" s="36">
        <v>223.30411458203827</v>
      </c>
      <c r="H12" s="36">
        <v>15118.76265181356</v>
      </c>
      <c r="I12" s="36">
        <v>1679.2797916914903</v>
      </c>
      <c r="J12" s="36">
        <v>1.2329560317639914</v>
      </c>
      <c r="K12" s="36">
        <v>1.0789810484845192E-2</v>
      </c>
      <c r="L12" s="36">
        <v>1.1039282141734797E-2</v>
      </c>
      <c r="M12" s="36">
        <v>1.0737749384643801E-2</v>
      </c>
      <c r="N12" s="36">
        <v>1.2151126243579119E-2</v>
      </c>
      <c r="O12" s="36">
        <v>1.3033950847562228E-2</v>
      </c>
      <c r="P12" s="36">
        <v>1.4823792520129456E-2</v>
      </c>
      <c r="Q12" s="36">
        <v>1.4433698264825056E-2</v>
      </c>
      <c r="R12" s="36">
        <v>1.5144022462772634E-2</v>
      </c>
      <c r="S12" s="36">
        <v>1.6031376232102136E-2</v>
      </c>
      <c r="T12" s="36">
        <v>1.9880982191406753E-2</v>
      </c>
      <c r="U12" s="36">
        <v>2.2669338700632903E-2</v>
      </c>
      <c r="V12" s="36">
        <v>3.1502571498717512E-2</v>
      </c>
      <c r="W12" s="36">
        <v>3.6666096025336839E-2</v>
      </c>
      <c r="X12" s="36">
        <v>3.8080025502172411E-2</v>
      </c>
      <c r="Y12" s="36">
        <v>1.6022680132019547E-3</v>
      </c>
      <c r="Z12" s="36">
        <v>1.6169290496232161E-3</v>
      </c>
      <c r="AA12" s="36">
        <v>1.335774911788379E-3</v>
      </c>
      <c r="AB12" s="36">
        <v>1.9591576141622519E-3</v>
      </c>
      <c r="AC12" s="36">
        <v>2.5692002384596129E-3</v>
      </c>
      <c r="AD12" s="36">
        <v>3.3607616581711594E-3</v>
      </c>
      <c r="AE12" s="36">
        <v>4.3894722674143391E-3</v>
      </c>
      <c r="AF12" s="36">
        <v>5.2651169404766976E-3</v>
      </c>
      <c r="AG12" s="36">
        <v>5.9955892445046803E-3</v>
      </c>
      <c r="AH12" s="36">
        <v>7.4003971467878757E-3</v>
      </c>
      <c r="AI12" s="36">
        <v>1.192880776148432E-2</v>
      </c>
      <c r="AJ12" s="36">
        <v>2.0946853346590542E-2</v>
      </c>
      <c r="AK12" s="36">
        <v>2.5398844262488254E-2</v>
      </c>
      <c r="AL12" s="36">
        <v>2.6669003349020136E-2</v>
      </c>
      <c r="AM12" s="36">
        <v>4.7683271771747074E-3</v>
      </c>
      <c r="AN12" s="36">
        <v>5.1771059095996035E-3</v>
      </c>
      <c r="AO12" s="36">
        <v>4.8409185473638023E-3</v>
      </c>
      <c r="AP12" s="36">
        <v>5.6289704816997847E-3</v>
      </c>
      <c r="AQ12" s="36">
        <v>5.9782737801683571E-3</v>
      </c>
      <c r="AR12" s="36">
        <v>5.8092272962879197E-3</v>
      </c>
      <c r="AS12" s="36">
        <v>7.122618684938146E-3</v>
      </c>
      <c r="AT12" s="36">
        <v>8.5708098286806558E-3</v>
      </c>
      <c r="AU12" s="36">
        <v>9.1415516489881318E-3</v>
      </c>
      <c r="AV12" s="36">
        <v>1.0933678505771788E-2</v>
      </c>
      <c r="AW12" s="36">
        <v>1.6678050029126326E-2</v>
      </c>
      <c r="AX12" s="36">
        <v>2.7307592864620846E-2</v>
      </c>
      <c r="AY12" s="36">
        <v>3.2347655870707911E-2</v>
      </c>
      <c r="AZ12" s="36">
        <v>3.4216061303489698E-2</v>
      </c>
      <c r="BA12" s="36">
        <v>1.0250120833366549E-3</v>
      </c>
      <c r="BB12" s="36">
        <v>1.4384022478016445E-3</v>
      </c>
      <c r="BC12" s="36">
        <v>1.7502071618461252E-3</v>
      </c>
      <c r="BD12" s="36">
        <v>2.483774409931225E-3</v>
      </c>
      <c r="BE12" s="36">
        <v>3.0005556867845049E-3</v>
      </c>
      <c r="BF12" s="36">
        <v>3.3225727273600691E-3</v>
      </c>
      <c r="BG12" s="36">
        <v>4.928518546604429E-3</v>
      </c>
      <c r="BH12" s="36">
        <v>6.4070481076357209E-3</v>
      </c>
      <c r="BI12" s="36">
        <v>5.3389193538422265E-3</v>
      </c>
      <c r="BJ12" s="36">
        <v>6.8034050021415285E-3</v>
      </c>
      <c r="BK12" s="36">
        <v>1.2913579061056599E-2</v>
      </c>
      <c r="BL12" s="36">
        <v>2.9007888158069473E-2</v>
      </c>
      <c r="BM12" s="36">
        <v>3.4948468258104597E-2</v>
      </c>
      <c r="BN12" s="36">
        <v>3.7431622643958655E-2</v>
      </c>
    </row>
    <row r="13" spans="1:66">
      <c r="A13" s="36">
        <v>0.96876304079291542</v>
      </c>
      <c r="B13" s="36">
        <v>1.3456653500551143</v>
      </c>
      <c r="C13" s="36">
        <v>1.6102397272899489</v>
      </c>
      <c r="D13" s="36">
        <v>0.31895755301079037</v>
      </c>
      <c r="E13" s="36">
        <v>2.7933414135283643</v>
      </c>
      <c r="F13" s="36">
        <v>10.827459431339273</v>
      </c>
      <c r="G13" s="36">
        <v>224.41745638638236</v>
      </c>
      <c r="H13" s="36">
        <v>15118.77420004291</v>
      </c>
      <c r="I13" s="36">
        <v>1679.2911624048404</v>
      </c>
      <c r="J13" s="36">
        <v>1.2528361269459352</v>
      </c>
      <c r="K13" s="36">
        <v>1.1249257564123984E-2</v>
      </c>
      <c r="L13" s="36">
        <v>1.1082599190585274E-2</v>
      </c>
      <c r="M13" s="36">
        <v>1.0734804311204809E-2</v>
      </c>
      <c r="N13" s="36">
        <v>1.2073491252589458E-2</v>
      </c>
      <c r="O13" s="36">
        <v>1.2908279531511734E-2</v>
      </c>
      <c r="P13" s="36">
        <v>1.4626337986528036E-2</v>
      </c>
      <c r="Q13" s="36">
        <v>1.4296676510184524E-2</v>
      </c>
      <c r="R13" s="36">
        <v>1.5000887376139539E-2</v>
      </c>
      <c r="S13" s="36">
        <v>1.6053149487998811E-2</v>
      </c>
      <c r="T13" s="36">
        <v>1.9908019297040152E-2</v>
      </c>
      <c r="U13" s="36">
        <v>2.2649686734594405E-2</v>
      </c>
      <c r="V13" s="36">
        <v>3.1407961805223039E-2</v>
      </c>
      <c r="W13" s="36">
        <v>3.6629804146918306E-2</v>
      </c>
      <c r="X13" s="36">
        <v>3.8126364230433397E-2</v>
      </c>
      <c r="Y13" s="36">
        <v>1.3174744186385304E-3</v>
      </c>
      <c r="Z13" s="36">
        <v>1.3836211047629514E-3</v>
      </c>
      <c r="AA13" s="36">
        <v>1.2686430694995119E-3</v>
      </c>
      <c r="AB13" s="36">
        <v>1.8861694210177454E-3</v>
      </c>
      <c r="AC13" s="36">
        <v>2.4949789988287694E-3</v>
      </c>
      <c r="AD13" s="36">
        <v>3.2866859839231996E-3</v>
      </c>
      <c r="AE13" s="36">
        <v>4.3403273972569502E-3</v>
      </c>
      <c r="AF13" s="36">
        <v>5.1936144109161067E-3</v>
      </c>
      <c r="AG13" s="36">
        <v>5.923710227739549E-3</v>
      </c>
      <c r="AH13" s="36">
        <v>7.2581560315002043E-3</v>
      </c>
      <c r="AI13" s="36">
        <v>1.1812662479417828E-2</v>
      </c>
      <c r="AJ13" s="36">
        <v>2.0938836361257408E-2</v>
      </c>
      <c r="AK13" s="36">
        <v>2.5445906960074878E-2</v>
      </c>
      <c r="AL13" s="36">
        <v>2.6704552445659537E-2</v>
      </c>
      <c r="AM13" s="36">
        <v>4.7680315293360826E-3</v>
      </c>
      <c r="AN13" s="36">
        <v>5.3321408404288784E-3</v>
      </c>
      <c r="AO13" s="36">
        <v>4.8708588266291961E-3</v>
      </c>
      <c r="AP13" s="36">
        <v>5.631850810136509E-3</v>
      </c>
      <c r="AQ13" s="36">
        <v>5.9729117589542805E-3</v>
      </c>
      <c r="AR13" s="36">
        <v>5.7811596554195972E-3</v>
      </c>
      <c r="AS13" s="36">
        <v>7.0739855784679164E-3</v>
      </c>
      <c r="AT13" s="36">
        <v>8.5205509599470906E-3</v>
      </c>
      <c r="AU13" s="36">
        <v>9.1218584705155953E-3</v>
      </c>
      <c r="AV13" s="36">
        <v>1.0914031208750011E-2</v>
      </c>
      <c r="AW13" s="36">
        <v>1.6703618089061505E-2</v>
      </c>
      <c r="AX13" s="36">
        <v>2.7273250540879632E-2</v>
      </c>
      <c r="AY13" s="36">
        <v>3.2356955484046893E-2</v>
      </c>
      <c r="AZ13" s="36">
        <v>3.4249096363157316E-2</v>
      </c>
      <c r="BA13" s="36">
        <v>1.0317322382727341E-3</v>
      </c>
      <c r="BB13" s="36">
        <v>1.8191893263293554E-3</v>
      </c>
      <c r="BC13" s="36">
        <v>1.8449330646411557E-3</v>
      </c>
      <c r="BD13" s="36">
        <v>2.4897950628871902E-3</v>
      </c>
      <c r="BE13" s="36">
        <v>2.9872860975312218E-3</v>
      </c>
      <c r="BF13" s="36">
        <v>3.2714444468817422E-3</v>
      </c>
      <c r="BG13" s="36">
        <v>4.8581621545077062E-3</v>
      </c>
      <c r="BH13" s="36">
        <v>6.3289567258464812E-3</v>
      </c>
      <c r="BI13" s="36">
        <v>5.2057400909687633E-3</v>
      </c>
      <c r="BJ13" s="36">
        <v>6.5287864687100161E-3</v>
      </c>
      <c r="BK13" s="36">
        <v>1.2687964031857712E-2</v>
      </c>
      <c r="BL13" s="36">
        <v>2.8796672966050301E-2</v>
      </c>
      <c r="BM13" s="36">
        <v>3.480738723863374E-2</v>
      </c>
      <c r="BN13" s="36">
        <v>3.7356271911467155E-2</v>
      </c>
    </row>
    <row r="14" spans="1:66">
      <c r="A14" s="36">
        <v>0.97248380956660774</v>
      </c>
      <c r="B14" s="36">
        <v>1.3520012331651787</v>
      </c>
      <c r="C14" s="36">
        <v>1.6164503221281172</v>
      </c>
      <c r="D14" s="36">
        <v>0.32027654602693356</v>
      </c>
      <c r="E14" s="36">
        <v>2.7617622821883634</v>
      </c>
      <c r="F14" s="36">
        <v>10.863052976179887</v>
      </c>
      <c r="G14" s="36">
        <v>222.62289909959557</v>
      </c>
      <c r="H14" s="36">
        <v>15118.757386440318</v>
      </c>
      <c r="I14" s="36">
        <v>1679.2785566305963</v>
      </c>
      <c r="J14" s="36">
        <v>1.2335700920443602</v>
      </c>
      <c r="K14" s="36">
        <v>1.0852240923671796E-2</v>
      </c>
      <c r="L14" s="36">
        <v>1.1050779010912407E-2</v>
      </c>
      <c r="M14" s="36">
        <v>1.0777604766808394E-2</v>
      </c>
      <c r="N14" s="36">
        <v>1.2129128652768046E-2</v>
      </c>
      <c r="O14" s="36">
        <v>1.3027131825074725E-2</v>
      </c>
      <c r="P14" s="36">
        <v>1.4797279386002598E-2</v>
      </c>
      <c r="Q14" s="36">
        <v>1.4381352323201509E-2</v>
      </c>
      <c r="R14" s="36">
        <v>1.5183254900825853E-2</v>
      </c>
      <c r="S14" s="36">
        <v>1.5857943722353111E-2</v>
      </c>
      <c r="T14" s="36">
        <v>1.9634432584984894E-2</v>
      </c>
      <c r="U14" s="36">
        <v>2.2489411271750418E-2</v>
      </c>
      <c r="V14" s="36">
        <v>3.1328419582195087E-2</v>
      </c>
      <c r="W14" s="36">
        <v>3.6692336953704788E-2</v>
      </c>
      <c r="X14" s="36">
        <v>3.8147244834324849E-2</v>
      </c>
      <c r="Y14" s="36">
        <v>2.1287639803398168E-3</v>
      </c>
      <c r="Z14" s="36">
        <v>1.4677056195964277E-3</v>
      </c>
      <c r="AA14" s="36">
        <v>1.289803866775963E-3</v>
      </c>
      <c r="AB14" s="36">
        <v>1.8803724681814389E-3</v>
      </c>
      <c r="AC14" s="36">
        <v>2.5176438439999706E-3</v>
      </c>
      <c r="AD14" s="36">
        <v>3.3069840691722805E-3</v>
      </c>
      <c r="AE14" s="36">
        <v>4.3439002412819123E-3</v>
      </c>
      <c r="AF14" s="36">
        <v>5.2108195898272376E-3</v>
      </c>
      <c r="AG14" s="36">
        <v>5.8630780761193112E-3</v>
      </c>
      <c r="AH14" s="36">
        <v>7.2944612357931883E-3</v>
      </c>
      <c r="AI14" s="36">
        <v>1.1869056323593507E-2</v>
      </c>
      <c r="AJ14" s="36">
        <v>2.1126964961759323E-2</v>
      </c>
      <c r="AK14" s="36">
        <v>2.5710518979391955E-2</v>
      </c>
      <c r="AL14" s="36">
        <v>2.699887255715501E-2</v>
      </c>
      <c r="AM14" s="36">
        <v>4.6744404561158293E-3</v>
      </c>
      <c r="AN14" s="36">
        <v>5.4661337238809584E-3</v>
      </c>
      <c r="AO14" s="36">
        <v>4.9009385844050249E-3</v>
      </c>
      <c r="AP14" s="36">
        <v>5.6491922869476045E-3</v>
      </c>
      <c r="AQ14" s="36">
        <v>5.9897949658864157E-3</v>
      </c>
      <c r="AR14" s="36">
        <v>5.803283040863136E-3</v>
      </c>
      <c r="AS14" s="36">
        <v>7.1133993332068756E-3</v>
      </c>
      <c r="AT14" s="36">
        <v>8.5756515371581531E-3</v>
      </c>
      <c r="AU14" s="36">
        <v>9.2205133957006368E-3</v>
      </c>
      <c r="AV14" s="36">
        <v>1.098105077078383E-2</v>
      </c>
      <c r="AW14" s="36">
        <v>1.6738370974902321E-2</v>
      </c>
      <c r="AX14" s="36">
        <v>2.7269385905042461E-2</v>
      </c>
      <c r="AY14" s="36">
        <v>3.231285112768454E-2</v>
      </c>
      <c r="AZ14" s="36">
        <v>3.4142330643329707E-2</v>
      </c>
      <c r="BA14" s="36">
        <v>7.9470594383682211E-4</v>
      </c>
      <c r="BB14" s="36">
        <v>2.1508139072350615E-3</v>
      </c>
      <c r="BC14" s="36">
        <v>1.9166204547623738E-3</v>
      </c>
      <c r="BD14" s="36">
        <v>2.508818422605369E-3</v>
      </c>
      <c r="BE14" s="36">
        <v>3.0169754869853091E-3</v>
      </c>
      <c r="BF14" s="36">
        <v>3.2843125544907994E-3</v>
      </c>
      <c r="BG14" s="36">
        <v>4.8731919386773726E-3</v>
      </c>
      <c r="BH14" s="36">
        <v>6.3465661712520088E-3</v>
      </c>
      <c r="BI14" s="36">
        <v>5.1653270042733984E-3</v>
      </c>
      <c r="BJ14" s="36">
        <v>6.4693559795568926E-3</v>
      </c>
      <c r="BK14" s="36">
        <v>1.2454911544322472E-2</v>
      </c>
      <c r="BL14" s="36">
        <v>2.8460430395306234E-2</v>
      </c>
      <c r="BM14" s="36">
        <v>3.4553150572684772E-2</v>
      </c>
      <c r="BN14" s="36">
        <v>3.7103759332066846E-2</v>
      </c>
    </row>
    <row r="15" spans="1:66">
      <c r="A15" s="36">
        <v>0.97231316990715366</v>
      </c>
      <c r="B15" s="36">
        <v>1.3507821667872602</v>
      </c>
      <c r="C15" s="36">
        <v>1.6147165751643242</v>
      </c>
      <c r="D15" s="36">
        <v>0.32041412717463397</v>
      </c>
      <c r="E15" s="36">
        <v>2.8023672903074628</v>
      </c>
      <c r="F15" s="36">
        <v>10.69081330623569</v>
      </c>
      <c r="G15" s="36">
        <v>219.37299640274432</v>
      </c>
      <c r="H15" s="36">
        <v>15118.76373671456</v>
      </c>
      <c r="I15" s="36">
        <v>1679.283511017386</v>
      </c>
      <c r="J15" s="36">
        <v>1.2326256713897892</v>
      </c>
      <c r="K15" s="36">
        <v>1.1147817224827623E-2</v>
      </c>
      <c r="L15" s="36">
        <v>1.0884332137463591E-2</v>
      </c>
      <c r="M15" s="36">
        <v>1.0621386355549793E-2</v>
      </c>
      <c r="N15" s="36">
        <v>1.1973540461354746E-2</v>
      </c>
      <c r="O15" s="36">
        <v>1.2823970907413714E-2</v>
      </c>
      <c r="P15" s="36">
        <v>1.4564165081013896E-2</v>
      </c>
      <c r="Q15" s="36">
        <v>1.4226681239774247E-2</v>
      </c>
      <c r="R15" s="36">
        <v>1.5371100545434942E-2</v>
      </c>
      <c r="S15" s="36">
        <v>1.5943345049717488E-2</v>
      </c>
      <c r="T15" s="36">
        <v>1.9754010488021702E-2</v>
      </c>
      <c r="U15" s="36">
        <v>2.2675879678433049E-2</v>
      </c>
      <c r="V15" s="36">
        <v>3.1458046830895529E-2</v>
      </c>
      <c r="W15" s="36">
        <v>3.6766872139152064E-2</v>
      </c>
      <c r="X15" s="36">
        <v>3.8261436821209298E-2</v>
      </c>
      <c r="Y15" s="36">
        <v>1.3879864592229447E-3</v>
      </c>
      <c r="Z15" s="36">
        <v>1.5774284796518444E-3</v>
      </c>
      <c r="AA15" s="36">
        <v>1.3024819509837502E-3</v>
      </c>
      <c r="AB15" s="36">
        <v>1.9060142581296729E-3</v>
      </c>
      <c r="AC15" s="36">
        <v>2.5445819040376778E-3</v>
      </c>
      <c r="AD15" s="36">
        <v>3.3212295393297143E-3</v>
      </c>
      <c r="AE15" s="36">
        <v>4.3691824085894488E-3</v>
      </c>
      <c r="AF15" s="36">
        <v>5.2088425839061699E-3</v>
      </c>
      <c r="AG15" s="36">
        <v>5.75031543319295E-3</v>
      </c>
      <c r="AH15" s="36">
        <v>7.094707779745405E-3</v>
      </c>
      <c r="AI15" s="36">
        <v>1.1674348290075442E-2</v>
      </c>
      <c r="AJ15" s="36">
        <v>2.090760943551315E-2</v>
      </c>
      <c r="AK15" s="36">
        <v>2.5517742269481385E-2</v>
      </c>
      <c r="AL15" s="36">
        <v>2.6907961081772049E-2</v>
      </c>
      <c r="AM15" s="36">
        <v>4.7644610481520199E-3</v>
      </c>
      <c r="AN15" s="36">
        <v>5.6188468211411475E-3</v>
      </c>
      <c r="AO15" s="36">
        <v>4.9378822517811378E-3</v>
      </c>
      <c r="AP15" s="36">
        <v>5.6731412732743862E-3</v>
      </c>
      <c r="AQ15" s="36">
        <v>6.0032596831544119E-3</v>
      </c>
      <c r="AR15" s="36">
        <v>5.817125866256846E-3</v>
      </c>
      <c r="AS15" s="36">
        <v>7.1293059833884937E-3</v>
      </c>
      <c r="AT15" s="36">
        <v>8.5857725051798998E-3</v>
      </c>
      <c r="AU15" s="36">
        <v>9.0681728045152281E-3</v>
      </c>
      <c r="AV15" s="36">
        <v>1.0913664801609251E-2</v>
      </c>
      <c r="AW15" s="36">
        <v>1.678846702529457E-2</v>
      </c>
      <c r="AX15" s="36">
        <v>2.749777024781801E-2</v>
      </c>
      <c r="AY15" s="36">
        <v>3.2595914526223076E-2</v>
      </c>
      <c r="AZ15" s="36">
        <v>3.4427503523808897E-2</v>
      </c>
      <c r="BA15" s="36">
        <v>9.2373831742461232E-4</v>
      </c>
      <c r="BB15" s="36">
        <v>2.1534037511581456E-3</v>
      </c>
      <c r="BC15" s="36">
        <v>1.9251902582149831E-3</v>
      </c>
      <c r="BD15" s="36">
        <v>2.5405348661133127E-3</v>
      </c>
      <c r="BE15" s="36">
        <v>3.0390931427203977E-3</v>
      </c>
      <c r="BF15" s="36">
        <v>3.3156595151149671E-3</v>
      </c>
      <c r="BG15" s="36">
        <v>4.8962457967589952E-3</v>
      </c>
      <c r="BH15" s="36">
        <v>6.3539273875560728E-3</v>
      </c>
      <c r="BI15" s="36">
        <v>5.1617294924366508E-3</v>
      </c>
      <c r="BJ15" s="36">
        <v>6.4842795969527666E-3</v>
      </c>
      <c r="BK15" s="36">
        <v>1.2663431425927544E-2</v>
      </c>
      <c r="BL15" s="36">
        <v>2.8895122250163278E-2</v>
      </c>
      <c r="BM15" s="36">
        <v>3.4875145186064417E-2</v>
      </c>
      <c r="BN15" s="36">
        <v>3.746322128990652E-2</v>
      </c>
    </row>
    <row r="16" spans="1:66">
      <c r="A16" s="36">
        <v>0.96173470832172925</v>
      </c>
      <c r="B16" s="36">
        <v>1.3438566150609985</v>
      </c>
      <c r="C16" s="36">
        <v>1.6040179090401547</v>
      </c>
      <c r="D16" s="36">
        <v>0.31718186407363352</v>
      </c>
      <c r="E16" s="36">
        <v>2.7828287137136871</v>
      </c>
      <c r="F16" s="36">
        <v>10.620774902084634</v>
      </c>
      <c r="G16" s="36">
        <v>224.39584105270978</v>
      </c>
      <c r="H16" s="36">
        <v>15118.759641220362</v>
      </c>
      <c r="I16" s="36">
        <v>1679.2781182649512</v>
      </c>
      <c r="J16" s="36">
        <v>1.2227346047168552</v>
      </c>
      <c r="K16" s="36">
        <v>1.1041993472960651E-2</v>
      </c>
      <c r="L16" s="36">
        <v>1.1122129398045267E-2</v>
      </c>
      <c r="M16" s="36">
        <v>1.0651847655140236E-2</v>
      </c>
      <c r="N16" s="36">
        <v>1.1964133867927631E-2</v>
      </c>
      <c r="O16" s="36">
        <v>1.2876710698349921E-2</v>
      </c>
      <c r="P16" s="36">
        <v>1.4682022957607803E-2</v>
      </c>
      <c r="Q16" s="36">
        <v>1.4294242462177935E-2</v>
      </c>
      <c r="R16" s="36">
        <v>1.5246405584335768E-2</v>
      </c>
      <c r="S16" s="36">
        <v>1.5692943604703392E-2</v>
      </c>
      <c r="T16" s="36">
        <v>1.9379612113299714E-2</v>
      </c>
      <c r="U16" s="36">
        <v>2.2111283401102074E-2</v>
      </c>
      <c r="V16" s="36">
        <v>3.0969138666555651E-2</v>
      </c>
      <c r="W16" s="36">
        <v>3.6345212299545744E-2</v>
      </c>
      <c r="X16" s="36">
        <v>3.7858899679392551E-2</v>
      </c>
      <c r="Y16" s="36">
        <v>1.2485097416821368E-3</v>
      </c>
      <c r="Z16" s="36">
        <v>1.4013173223439697E-3</v>
      </c>
      <c r="AA16" s="36">
        <v>1.2958451078968962E-3</v>
      </c>
      <c r="AB16" s="36">
        <v>1.9182957210339253E-3</v>
      </c>
      <c r="AC16" s="36">
        <v>2.5362333659271893E-3</v>
      </c>
      <c r="AD16" s="36">
        <v>3.3282562748864438E-3</v>
      </c>
      <c r="AE16" s="36">
        <v>4.3624753482323815E-3</v>
      </c>
      <c r="AF16" s="36">
        <v>5.2225764676457924E-3</v>
      </c>
      <c r="AG16" s="36">
        <v>5.8170937344437608E-3</v>
      </c>
      <c r="AH16" s="36">
        <v>7.1833450891888879E-3</v>
      </c>
      <c r="AI16" s="36">
        <v>1.1651577629406353E-2</v>
      </c>
      <c r="AJ16" s="36">
        <v>2.0823962766171523E-2</v>
      </c>
      <c r="AK16" s="36">
        <v>2.5472390659685245E-2</v>
      </c>
      <c r="AL16" s="36">
        <v>2.6815608899886403E-2</v>
      </c>
      <c r="AM16" s="36">
        <v>4.7314965389985177E-3</v>
      </c>
      <c r="AN16" s="36">
        <v>5.3260100820619483E-3</v>
      </c>
      <c r="AO16" s="36">
        <v>4.8725603322348696E-3</v>
      </c>
      <c r="AP16" s="36">
        <v>5.642233511807304E-3</v>
      </c>
      <c r="AQ16" s="36">
        <v>5.9864144591887328E-3</v>
      </c>
      <c r="AR16" s="36">
        <v>5.8051187950027769E-3</v>
      </c>
      <c r="AS16" s="36">
        <v>7.1034482922127887E-3</v>
      </c>
      <c r="AT16" s="36">
        <v>8.538701173144923E-3</v>
      </c>
      <c r="AU16" s="36">
        <v>8.9010378584355385E-3</v>
      </c>
      <c r="AV16" s="36">
        <v>1.0675973930302413E-2</v>
      </c>
      <c r="AW16" s="36">
        <v>1.6370386725796011E-2</v>
      </c>
      <c r="AX16" s="36">
        <v>2.7127434919757415E-2</v>
      </c>
      <c r="AY16" s="36">
        <v>3.2258808474692049E-2</v>
      </c>
      <c r="AZ16" s="36">
        <v>3.4189549958492507E-2</v>
      </c>
      <c r="BA16" s="36">
        <v>1.1630799331205902E-3</v>
      </c>
      <c r="BB16" s="36">
        <v>1.62746737751653E-3</v>
      </c>
      <c r="BC16" s="36">
        <v>1.8045737997096399E-3</v>
      </c>
      <c r="BD16" s="36">
        <v>2.4890873701731426E-3</v>
      </c>
      <c r="BE16" s="36">
        <v>3.0014768344245077E-3</v>
      </c>
      <c r="BF16" s="36">
        <v>3.3006213332705055E-3</v>
      </c>
      <c r="BG16" s="36">
        <v>4.8857172463552308E-3</v>
      </c>
      <c r="BH16" s="36">
        <v>6.3462292456579568E-3</v>
      </c>
      <c r="BI16" s="36">
        <v>5.0384557572616274E-3</v>
      </c>
      <c r="BJ16" s="36">
        <v>6.3802953990233302E-3</v>
      </c>
      <c r="BK16" s="36">
        <v>1.2287796925452054E-2</v>
      </c>
      <c r="BL16" s="36">
        <v>2.8422981001883882E-2</v>
      </c>
      <c r="BM16" s="36">
        <v>3.4525549256043481E-2</v>
      </c>
      <c r="BN16" s="36">
        <v>3.7132297301538476E-2</v>
      </c>
    </row>
    <row r="17" spans="1:66">
      <c r="A17" s="36">
        <v>0.96874542441476574</v>
      </c>
      <c r="B17" s="36">
        <v>1.3467524482210509</v>
      </c>
      <c r="C17" s="36">
        <v>1.6110752852088661</v>
      </c>
      <c r="D17" s="36">
        <v>0.31849818264757762</v>
      </c>
      <c r="E17" s="36">
        <v>2.7638039134126422</v>
      </c>
      <c r="F17" s="36">
        <v>10.720877197447138</v>
      </c>
      <c r="G17" s="36">
        <v>230.1574207913302</v>
      </c>
      <c r="H17" s="36">
        <v>15118.767629816828</v>
      </c>
      <c r="I17" s="36">
        <v>1679.2841074029109</v>
      </c>
      <c r="J17" s="36">
        <v>1.2215791868180248</v>
      </c>
      <c r="K17" s="36">
        <v>1.1115278643908509E-2</v>
      </c>
      <c r="L17" s="36">
        <v>1.1327559869265143E-2</v>
      </c>
      <c r="M17" s="36">
        <v>1.0869866190603024E-2</v>
      </c>
      <c r="N17" s="36">
        <v>1.2170192285526679E-2</v>
      </c>
      <c r="O17" s="36">
        <v>1.3069051448373281E-2</v>
      </c>
      <c r="P17" s="36">
        <v>1.4795988006213446E-2</v>
      </c>
      <c r="Q17" s="36">
        <v>1.4425108008865265E-2</v>
      </c>
      <c r="R17" s="36">
        <v>1.4584193617855993E-2</v>
      </c>
      <c r="S17" s="36">
        <v>1.6103224596413657E-2</v>
      </c>
      <c r="T17" s="36">
        <v>2.0017914674722293E-2</v>
      </c>
      <c r="U17" s="36">
        <v>2.2845784056502085E-2</v>
      </c>
      <c r="V17" s="36">
        <v>3.1846598389811083E-2</v>
      </c>
      <c r="W17" s="36">
        <v>3.705396182913745E-2</v>
      </c>
      <c r="X17" s="36">
        <v>3.8458839714149068E-2</v>
      </c>
      <c r="Y17" s="36">
        <v>2.2046387650041244E-3</v>
      </c>
      <c r="Z17" s="36">
        <v>1.3142462002528566E-3</v>
      </c>
      <c r="AA17" s="36">
        <v>1.2425408119647787E-3</v>
      </c>
      <c r="AB17" s="36">
        <v>1.8504068180505387E-3</v>
      </c>
      <c r="AC17" s="36">
        <v>2.4659612376956757E-3</v>
      </c>
      <c r="AD17" s="36">
        <v>3.2677252162378097E-3</v>
      </c>
      <c r="AE17" s="36">
        <v>4.3105397685283897E-3</v>
      </c>
      <c r="AF17" s="36">
        <v>5.1911699643176785E-3</v>
      </c>
      <c r="AG17" s="36">
        <v>6.064440541511883E-3</v>
      </c>
      <c r="AH17" s="36">
        <v>7.5032791775076655E-3</v>
      </c>
      <c r="AI17" s="36">
        <v>1.2111760998499262E-2</v>
      </c>
      <c r="AJ17" s="36">
        <v>2.1377700681352651E-2</v>
      </c>
      <c r="AK17" s="36">
        <v>2.5974138317179908E-2</v>
      </c>
      <c r="AL17" s="36">
        <v>2.7248462403012177E-2</v>
      </c>
      <c r="AM17" s="36">
        <v>4.76768763625452E-3</v>
      </c>
      <c r="AN17" s="36">
        <v>5.1892543645640889E-3</v>
      </c>
      <c r="AO17" s="36">
        <v>4.8382380714602803E-3</v>
      </c>
      <c r="AP17" s="36">
        <v>5.6167029496057407E-3</v>
      </c>
      <c r="AQ17" s="36">
        <v>5.9648126378421496E-3</v>
      </c>
      <c r="AR17" s="36">
        <v>5.7709605634176271E-3</v>
      </c>
      <c r="AS17" s="36">
        <v>7.0633885514720185E-3</v>
      </c>
      <c r="AT17" s="36">
        <v>8.5148804499427123E-3</v>
      </c>
      <c r="AU17" s="36">
        <v>9.3057524751035472E-3</v>
      </c>
      <c r="AV17" s="36">
        <v>1.1164157490350341E-2</v>
      </c>
      <c r="AW17" s="36">
        <v>1.697148615198096E-2</v>
      </c>
      <c r="AX17" s="36">
        <v>2.7840212465660718E-2</v>
      </c>
      <c r="AY17" s="36">
        <v>3.2868383237839867E-2</v>
      </c>
      <c r="AZ17" s="36">
        <v>3.471035463858102E-2</v>
      </c>
      <c r="BA17" s="36">
        <v>1.0830128116380156E-3</v>
      </c>
      <c r="BB17" s="36">
        <v>1.65419737872629E-3</v>
      </c>
      <c r="BC17" s="36">
        <v>1.7642887625793503E-3</v>
      </c>
      <c r="BD17" s="36">
        <v>2.4406665424095012E-3</v>
      </c>
      <c r="BE17" s="36">
        <v>2.95531563323297E-3</v>
      </c>
      <c r="BF17" s="36">
        <v>3.2485333065323347E-3</v>
      </c>
      <c r="BG17" s="36">
        <v>4.8357172318874717E-3</v>
      </c>
      <c r="BH17" s="36">
        <v>6.3106370803197699E-3</v>
      </c>
      <c r="BI17" s="36">
        <v>5.3513881921996949E-3</v>
      </c>
      <c r="BJ17" s="36">
        <v>6.7854135582559004E-3</v>
      </c>
      <c r="BK17" s="36">
        <v>1.2988169127119907E-2</v>
      </c>
      <c r="BL17" s="36">
        <v>2.9113310975188558E-2</v>
      </c>
      <c r="BM17" s="36">
        <v>3.5118503506502238E-2</v>
      </c>
      <c r="BN17" s="36">
        <v>3.7594700687537438E-2</v>
      </c>
    </row>
    <row r="18" spans="1:66">
      <c r="A18" s="36">
        <v>0.9702977316844047</v>
      </c>
      <c r="B18" s="36">
        <v>1.3466645950995744</v>
      </c>
      <c r="C18" s="36">
        <v>1.6136930572930759</v>
      </c>
      <c r="D18" s="36">
        <v>0.31946802185025219</v>
      </c>
      <c r="E18" s="36">
        <v>2.7612588210774707</v>
      </c>
      <c r="F18" s="36">
        <v>10.877586021012533</v>
      </c>
      <c r="G18" s="36">
        <v>224.37173505147507</v>
      </c>
      <c r="H18" s="36">
        <v>15118.763240926181</v>
      </c>
      <c r="I18" s="36">
        <v>1679.281644524327</v>
      </c>
      <c r="J18" s="36">
        <v>1.2372954357212227</v>
      </c>
      <c r="K18" s="36">
        <v>1.0741890659182612E-2</v>
      </c>
      <c r="L18" s="36">
        <v>1.108996169299958E-2</v>
      </c>
      <c r="M18" s="36">
        <v>1.0704889989266766E-2</v>
      </c>
      <c r="N18" s="36">
        <v>1.2117561194742561E-2</v>
      </c>
      <c r="O18" s="36">
        <v>1.3038146836827471E-2</v>
      </c>
      <c r="P18" s="36">
        <v>1.4940841397694606E-2</v>
      </c>
      <c r="Q18" s="36">
        <v>1.4371511789214664E-2</v>
      </c>
      <c r="R18" s="36">
        <v>1.5856870433006265E-2</v>
      </c>
      <c r="S18" s="36">
        <v>1.613200384458827E-2</v>
      </c>
      <c r="T18" s="36">
        <v>1.9988280887664914E-2</v>
      </c>
      <c r="U18" s="36">
        <v>2.2756319256827133E-2</v>
      </c>
      <c r="V18" s="36">
        <v>3.1642870359632431E-2</v>
      </c>
      <c r="W18" s="36">
        <v>3.6923737329299218E-2</v>
      </c>
      <c r="X18" s="36">
        <v>3.8432735530936207E-2</v>
      </c>
      <c r="Y18" s="36">
        <v>2.5896496078764192E-3</v>
      </c>
      <c r="Z18" s="36">
        <v>1.6684068018065188E-3</v>
      </c>
      <c r="AA18" s="36">
        <v>1.3519618195551165E-3</v>
      </c>
      <c r="AB18" s="36">
        <v>1.9894893959853774E-3</v>
      </c>
      <c r="AC18" s="36">
        <v>2.5959811644495393E-3</v>
      </c>
      <c r="AD18" s="36">
        <v>3.3646631348706749E-3</v>
      </c>
      <c r="AE18" s="36">
        <v>4.4060831904282052E-3</v>
      </c>
      <c r="AF18" s="36">
        <v>5.2655256415025465E-3</v>
      </c>
      <c r="AG18" s="36">
        <v>6.1098606159969869E-3</v>
      </c>
      <c r="AH18" s="36">
        <v>7.4608963427475229E-3</v>
      </c>
      <c r="AI18" s="36">
        <v>1.1974417671818701E-2</v>
      </c>
      <c r="AJ18" s="36">
        <v>2.1026479674814823E-2</v>
      </c>
      <c r="AK18" s="36">
        <v>2.5557946428830716E-2</v>
      </c>
      <c r="AL18" s="36">
        <v>2.6748288528752683E-2</v>
      </c>
      <c r="AM18" s="36">
        <v>4.5718470473363748E-3</v>
      </c>
      <c r="AN18" s="36">
        <v>5.3725026984655548E-3</v>
      </c>
      <c r="AO18" s="36">
        <v>4.8898067406378479E-3</v>
      </c>
      <c r="AP18" s="36">
        <v>5.6537741166770902E-3</v>
      </c>
      <c r="AQ18" s="36">
        <v>6.0051700913296684E-3</v>
      </c>
      <c r="AR18" s="36">
        <v>5.8287710265035467E-3</v>
      </c>
      <c r="AS18" s="36">
        <v>7.144957558531592E-3</v>
      </c>
      <c r="AT18" s="36">
        <v>8.5961977112971565E-3</v>
      </c>
      <c r="AU18" s="36">
        <v>9.1183162067416581E-3</v>
      </c>
      <c r="AV18" s="36">
        <v>1.0970560215886813E-2</v>
      </c>
      <c r="AW18" s="36">
        <v>1.6782747797569011E-2</v>
      </c>
      <c r="AX18" s="36">
        <v>2.7487503830152447E-2</v>
      </c>
      <c r="AY18" s="36">
        <v>3.254232270174643E-2</v>
      </c>
      <c r="AZ18" s="36">
        <v>3.4370906834036721E-2</v>
      </c>
      <c r="BA18" s="36">
        <v>1.301115228731138E-3</v>
      </c>
      <c r="BB18" s="36">
        <v>2.0970908458520479E-3</v>
      </c>
      <c r="BC18" s="36">
        <v>1.9505488839788921E-3</v>
      </c>
      <c r="BD18" s="36">
        <v>2.6000085116213781E-3</v>
      </c>
      <c r="BE18" s="36">
        <v>3.0661373542569433E-3</v>
      </c>
      <c r="BF18" s="36">
        <v>3.3363602169885439E-3</v>
      </c>
      <c r="BG18" s="36">
        <v>4.9395948824158334E-3</v>
      </c>
      <c r="BH18" s="36">
        <v>6.4187170341566246E-3</v>
      </c>
      <c r="BI18" s="36">
        <v>5.3035220891560686E-3</v>
      </c>
      <c r="BJ18" s="36">
        <v>6.6608968239034215E-3</v>
      </c>
      <c r="BK18" s="36">
        <v>1.2663608675090466E-2</v>
      </c>
      <c r="BL18" s="36">
        <v>2.8855068115941261E-2</v>
      </c>
      <c r="BM18" s="36">
        <v>3.4890654960980226E-2</v>
      </c>
      <c r="BN18" s="36">
        <v>3.745617684155185E-2</v>
      </c>
    </row>
    <row r="19" spans="1:66">
      <c r="A19" s="36">
        <v>0.96666051298859956</v>
      </c>
      <c r="B19" s="36">
        <v>1.3473842083662306</v>
      </c>
      <c r="C19" s="36">
        <v>1.6102078604050254</v>
      </c>
      <c r="D19" s="36">
        <v>0.31912003732724675</v>
      </c>
      <c r="E19" s="36">
        <v>2.7239470037115745</v>
      </c>
      <c r="F19" s="36">
        <v>10.515831476369529</v>
      </c>
      <c r="G19" s="36">
        <v>220.76777404790786</v>
      </c>
      <c r="H19" s="36">
        <v>15118.755720441644</v>
      </c>
      <c r="I19" s="36">
        <v>1679.2725559420996</v>
      </c>
      <c r="J19" s="36">
        <v>1.2442422163791877</v>
      </c>
      <c r="K19" s="36">
        <v>1.0703022138107974E-2</v>
      </c>
      <c r="L19" s="36">
        <v>1.0914664778038983E-2</v>
      </c>
      <c r="M19" s="36">
        <v>1.0602229765314965E-2</v>
      </c>
      <c r="N19" s="36">
        <v>1.1922571100187769E-2</v>
      </c>
      <c r="O19" s="36">
        <v>1.2787843430096337E-2</v>
      </c>
      <c r="P19" s="36">
        <v>1.451295875786335E-2</v>
      </c>
      <c r="Q19" s="36">
        <v>1.4131659561536752E-2</v>
      </c>
      <c r="R19" s="36">
        <v>1.5446540732229954E-2</v>
      </c>
      <c r="S19" s="36">
        <v>1.5794791778508951E-2</v>
      </c>
      <c r="T19" s="36">
        <v>1.9505151727067887E-2</v>
      </c>
      <c r="U19" s="36">
        <v>2.2237174516689884E-2</v>
      </c>
      <c r="V19" s="36">
        <v>3.0973855882060319E-2</v>
      </c>
      <c r="W19" s="36">
        <v>3.6266443517005462E-2</v>
      </c>
      <c r="X19" s="36">
        <v>3.7745869172003503E-2</v>
      </c>
      <c r="Y19" s="36">
        <v>1.0388849884767229E-3</v>
      </c>
      <c r="Z19" s="36">
        <v>1.483896819069555E-3</v>
      </c>
      <c r="AA19" s="36">
        <v>1.292324624708821E-3</v>
      </c>
      <c r="AB19" s="36">
        <v>1.8884463390177681E-3</v>
      </c>
      <c r="AC19" s="36">
        <v>2.5140597603601905E-3</v>
      </c>
      <c r="AD19" s="36">
        <v>3.3175869776687233E-3</v>
      </c>
      <c r="AE19" s="36">
        <v>4.3733329330347195E-3</v>
      </c>
      <c r="AF19" s="36">
        <v>5.2287793856175026E-3</v>
      </c>
      <c r="AG19" s="36">
        <v>5.7451521154663976E-3</v>
      </c>
      <c r="AH19" s="36">
        <v>7.0639225250530213E-3</v>
      </c>
      <c r="AI19" s="36">
        <v>1.1515620294232809E-2</v>
      </c>
      <c r="AJ19" s="36">
        <v>2.0591056312128882E-2</v>
      </c>
      <c r="AK19" s="36">
        <v>2.5225745968123856E-2</v>
      </c>
      <c r="AL19" s="36">
        <v>2.6468119025880778E-2</v>
      </c>
      <c r="AM19" s="36">
        <v>4.7729076118569105E-3</v>
      </c>
      <c r="AN19" s="36">
        <v>5.4877548926494631E-3</v>
      </c>
      <c r="AO19" s="36">
        <v>4.9108798698676258E-3</v>
      </c>
      <c r="AP19" s="36">
        <v>5.653684121385655E-3</v>
      </c>
      <c r="AQ19" s="36">
        <v>5.988580777727094E-3</v>
      </c>
      <c r="AR19" s="36">
        <v>5.8065811554395587E-3</v>
      </c>
      <c r="AS19" s="36">
        <v>7.103632843104112E-3</v>
      </c>
      <c r="AT19" s="36">
        <v>8.5502137637629913E-3</v>
      </c>
      <c r="AU19" s="36">
        <v>8.904771589919919E-3</v>
      </c>
      <c r="AV19" s="36">
        <v>1.0653128159133395E-2</v>
      </c>
      <c r="AW19" s="36">
        <v>1.6447644298856083E-2</v>
      </c>
      <c r="AX19" s="36">
        <v>2.707186451242409E-2</v>
      </c>
      <c r="AY19" s="36">
        <v>3.2215125024491059E-2</v>
      </c>
      <c r="AZ19" s="36">
        <v>3.4168615551757729E-2</v>
      </c>
      <c r="BA19" s="36">
        <v>1.0063012080152394E-3</v>
      </c>
      <c r="BB19" s="36">
        <v>2.0367074309509633E-3</v>
      </c>
      <c r="BC19" s="36">
        <v>1.9088980102703655E-3</v>
      </c>
      <c r="BD19" s="36">
        <v>2.5124814735115282E-3</v>
      </c>
      <c r="BE19" s="36">
        <v>3.0067937536172912E-3</v>
      </c>
      <c r="BF19" s="36">
        <v>3.2901967186586513E-3</v>
      </c>
      <c r="BG19" s="36">
        <v>4.8744667229084545E-3</v>
      </c>
      <c r="BH19" s="36">
        <v>6.3398867603757349E-3</v>
      </c>
      <c r="BI19" s="36">
        <v>5.1456576051301444E-3</v>
      </c>
      <c r="BJ19" s="36">
        <v>6.459626181504273E-3</v>
      </c>
      <c r="BK19" s="36">
        <v>1.246415650672467E-2</v>
      </c>
      <c r="BL19" s="36">
        <v>2.8403385263990097E-2</v>
      </c>
      <c r="BM19" s="36">
        <v>3.4518550795218601E-2</v>
      </c>
      <c r="BN19" s="36">
        <v>3.6994734893898519E-2</v>
      </c>
    </row>
    <row r="20" spans="1:66">
      <c r="A20" s="36">
        <v>0.9725312124943708</v>
      </c>
      <c r="B20" s="36">
        <v>1.3526723421582967</v>
      </c>
      <c r="C20" s="36">
        <v>1.6170121889036688</v>
      </c>
      <c r="D20" s="36">
        <v>0.32099351412544702</v>
      </c>
      <c r="E20" s="36">
        <v>2.8607027393705091</v>
      </c>
      <c r="F20" s="36">
        <v>10.935562933027553</v>
      </c>
      <c r="G20" s="36">
        <v>223.01614786765558</v>
      </c>
      <c r="H20" s="36">
        <v>15118.764290366611</v>
      </c>
      <c r="I20" s="36">
        <v>1679.2826283775021</v>
      </c>
      <c r="J20" s="36">
        <v>1.24255433949362</v>
      </c>
      <c r="K20" s="36">
        <v>1.1371983286485608E-2</v>
      </c>
      <c r="L20" s="36">
        <v>1.0902610788028483E-2</v>
      </c>
      <c r="M20" s="36">
        <v>1.0584029972575792E-2</v>
      </c>
      <c r="N20" s="36">
        <v>1.1878164053009538E-2</v>
      </c>
      <c r="O20" s="36">
        <v>1.273080710977487E-2</v>
      </c>
      <c r="P20" s="36">
        <v>1.4438985713281857E-2</v>
      </c>
      <c r="Q20" s="36">
        <v>1.3997815870064613E-2</v>
      </c>
      <c r="R20" s="36">
        <v>1.507395136036265E-2</v>
      </c>
      <c r="S20" s="36">
        <v>1.5893692081818948E-2</v>
      </c>
      <c r="T20" s="36">
        <v>1.9743277482523188E-2</v>
      </c>
      <c r="U20" s="36">
        <v>2.2667865461112185E-2</v>
      </c>
      <c r="V20" s="36">
        <v>3.1462888572823831E-2</v>
      </c>
      <c r="W20" s="36">
        <v>3.6769960166568742E-2</v>
      </c>
      <c r="X20" s="36">
        <v>3.8313003048849943E-2</v>
      </c>
      <c r="Y20" s="36">
        <v>1.6135117775113996E-3</v>
      </c>
      <c r="Z20" s="36">
        <v>1.2804105351529997E-3</v>
      </c>
      <c r="AA20" s="36">
        <v>1.2568187935183362E-3</v>
      </c>
      <c r="AB20" s="36">
        <v>1.8972158473605305E-3</v>
      </c>
      <c r="AC20" s="36">
        <v>2.5124971894495648E-3</v>
      </c>
      <c r="AD20" s="36">
        <v>3.2971276262595711E-3</v>
      </c>
      <c r="AE20" s="36">
        <v>4.3360329952861366E-3</v>
      </c>
      <c r="AF20" s="36">
        <v>5.1956790057758433E-3</v>
      </c>
      <c r="AG20" s="36">
        <v>5.8549166039024271E-3</v>
      </c>
      <c r="AH20" s="36">
        <v>7.224991450134559E-3</v>
      </c>
      <c r="AI20" s="36">
        <v>1.1842713333668599E-2</v>
      </c>
      <c r="AJ20" s="36">
        <v>2.1190335271954006E-2</v>
      </c>
      <c r="AK20" s="36">
        <v>2.5821672787802903E-2</v>
      </c>
      <c r="AL20" s="36">
        <v>2.7088087890747389E-2</v>
      </c>
      <c r="AM20" s="36">
        <v>4.7685197843355398E-3</v>
      </c>
      <c r="AN20" s="36">
        <v>5.5608998423585746E-3</v>
      </c>
      <c r="AO20" s="36">
        <v>4.9171951242820778E-3</v>
      </c>
      <c r="AP20" s="36">
        <v>5.6611591473169198E-3</v>
      </c>
      <c r="AQ20" s="36">
        <v>6.0038353234765224E-3</v>
      </c>
      <c r="AR20" s="36">
        <v>5.8148901994495936E-3</v>
      </c>
      <c r="AS20" s="36">
        <v>7.1215875790998041E-3</v>
      </c>
      <c r="AT20" s="36">
        <v>8.5711603690184109E-3</v>
      </c>
      <c r="AU20" s="36">
        <v>9.1765087559844225E-3</v>
      </c>
      <c r="AV20" s="36">
        <v>1.101874578824154E-2</v>
      </c>
      <c r="AW20" s="36">
        <v>1.6916468961144029E-2</v>
      </c>
      <c r="AX20" s="36">
        <v>2.7581633811196375E-2</v>
      </c>
      <c r="AY20" s="36">
        <v>3.2738808999000495E-2</v>
      </c>
      <c r="AZ20" s="36">
        <v>3.4637393129269313E-2</v>
      </c>
      <c r="BA20" s="36">
        <v>9.1156795319585803E-4</v>
      </c>
      <c r="BB20" s="36">
        <v>2.0172682836580866E-3</v>
      </c>
      <c r="BC20" s="36">
        <v>1.909843474334113E-3</v>
      </c>
      <c r="BD20" s="36">
        <v>2.5378142252046529E-3</v>
      </c>
      <c r="BE20" s="36">
        <v>3.0289684384288804E-3</v>
      </c>
      <c r="BF20" s="36">
        <v>3.2947151732229444E-3</v>
      </c>
      <c r="BG20" s="36">
        <v>4.8934778432328805E-3</v>
      </c>
      <c r="BH20" s="36">
        <v>6.3743015491247524E-3</v>
      </c>
      <c r="BI20" s="36">
        <v>5.246906171721178E-3</v>
      </c>
      <c r="BJ20" s="36">
        <v>6.6398750130121139E-3</v>
      </c>
      <c r="BK20" s="36">
        <v>1.2707887838326309E-2</v>
      </c>
      <c r="BL20" s="36">
        <v>2.8817718715922945E-2</v>
      </c>
      <c r="BM20" s="36">
        <v>3.4789104966825316E-2</v>
      </c>
      <c r="BN20" s="36">
        <v>3.7317264419225733E-2</v>
      </c>
    </row>
    <row r="21" spans="1:66">
      <c r="A21" s="36">
        <v>0.97026634411138224</v>
      </c>
      <c r="B21" s="36">
        <v>1.3509312255826709</v>
      </c>
      <c r="C21" s="36">
        <v>1.6273246727623429</v>
      </c>
      <c r="D21" s="36">
        <v>0.32082364275775066</v>
      </c>
      <c r="E21" s="36">
        <v>2.8074618776342644</v>
      </c>
      <c r="F21" s="36">
        <v>10.544938536079229</v>
      </c>
      <c r="G21" s="36">
        <v>227.06276666592871</v>
      </c>
      <c r="H21" s="36">
        <v>15118.762845104004</v>
      </c>
      <c r="I21" s="36">
        <v>1679.2818051730846</v>
      </c>
      <c r="J21" s="36">
        <v>1.2816435447993293</v>
      </c>
      <c r="K21" s="36">
        <v>1.0887989205701444E-2</v>
      </c>
      <c r="L21" s="36">
        <v>1.072173111831699E-2</v>
      </c>
      <c r="M21" s="36">
        <v>1.0733823320230157E-2</v>
      </c>
      <c r="N21" s="36">
        <v>1.2160807059912029E-2</v>
      </c>
      <c r="O21" s="36">
        <v>1.3078145939742913E-2</v>
      </c>
      <c r="P21" s="36">
        <v>1.4738636894711506E-2</v>
      </c>
      <c r="Q21" s="36">
        <v>1.4395155677668015E-2</v>
      </c>
      <c r="R21" s="36">
        <v>1.5168008956962038E-2</v>
      </c>
      <c r="S21" s="36">
        <v>1.6049036860918017E-2</v>
      </c>
      <c r="T21" s="36">
        <v>1.9936503519230087E-2</v>
      </c>
      <c r="U21" s="36">
        <v>2.2965690242414204E-2</v>
      </c>
      <c r="V21" s="36">
        <v>3.1735656127348515E-2</v>
      </c>
      <c r="W21" s="36">
        <v>3.6846858333896136E-2</v>
      </c>
      <c r="X21" s="36">
        <v>3.832305377759461E-2</v>
      </c>
      <c r="Y21" s="36">
        <v>1.2178612760572014E-3</v>
      </c>
      <c r="Z21" s="36">
        <v>1.5099922819265617E-3</v>
      </c>
      <c r="AA21" s="36">
        <v>1.3005074020338416E-3</v>
      </c>
      <c r="AB21" s="36">
        <v>1.8700194981922688E-3</v>
      </c>
      <c r="AC21" s="36">
        <v>2.5086357181966865E-3</v>
      </c>
      <c r="AD21" s="36">
        <v>3.297650967610206E-3</v>
      </c>
      <c r="AE21" s="36">
        <v>4.3515869917472869E-3</v>
      </c>
      <c r="AF21" s="36">
        <v>5.2369330486523877E-3</v>
      </c>
      <c r="AG21" s="36">
        <v>6.1199666741150018E-3</v>
      </c>
      <c r="AH21" s="36">
        <v>7.5551483603880703E-3</v>
      </c>
      <c r="AI21" s="36">
        <v>1.215496339442586E-2</v>
      </c>
      <c r="AJ21" s="36">
        <v>2.1312466711877691E-2</v>
      </c>
      <c r="AK21" s="36">
        <v>2.587856507565511E-2</v>
      </c>
      <c r="AL21" s="36">
        <v>2.7052103132777974E-2</v>
      </c>
      <c r="AM21" s="36">
        <v>4.8226049091704363E-3</v>
      </c>
      <c r="AN21" s="36">
        <v>5.5022495063473328E-3</v>
      </c>
      <c r="AO21" s="36">
        <v>4.9141477847177602E-3</v>
      </c>
      <c r="AP21" s="36">
        <v>5.6525654695796694E-3</v>
      </c>
      <c r="AQ21" s="36">
        <v>5.9834701377710848E-3</v>
      </c>
      <c r="AR21" s="36">
        <v>5.8040649495220012E-3</v>
      </c>
      <c r="AS21" s="36">
        <v>7.1198759219339713E-3</v>
      </c>
      <c r="AT21" s="36">
        <v>8.5906430143819212E-3</v>
      </c>
      <c r="AU21" s="36">
        <v>9.512961896328314E-3</v>
      </c>
      <c r="AV21" s="36">
        <v>1.1478326731631483E-2</v>
      </c>
      <c r="AW21" s="36">
        <v>1.7391414149967543E-2</v>
      </c>
      <c r="AX21" s="36">
        <v>2.7927550424989626E-2</v>
      </c>
      <c r="AY21" s="36">
        <v>3.2851656561849234E-2</v>
      </c>
      <c r="AZ21" s="36">
        <v>3.4614835006456471E-2</v>
      </c>
      <c r="BA21" s="36">
        <v>9.8640433829610573E-4</v>
      </c>
      <c r="BB21" s="36">
        <v>2.0586164870159693E-3</v>
      </c>
      <c r="BC21" s="36">
        <v>1.9185877636903807E-3</v>
      </c>
      <c r="BD21" s="36">
        <v>2.5015584944635917E-3</v>
      </c>
      <c r="BE21" s="36">
        <v>2.9987706583472352E-3</v>
      </c>
      <c r="BF21" s="36">
        <v>3.319469656323537E-3</v>
      </c>
      <c r="BG21" s="36">
        <v>4.9088894453813156E-3</v>
      </c>
      <c r="BH21" s="36">
        <v>6.3753787549941888E-3</v>
      </c>
      <c r="BI21" s="36">
        <v>5.317735700782731E-3</v>
      </c>
      <c r="BJ21" s="36">
        <v>6.8526796485402393E-3</v>
      </c>
      <c r="BK21" s="36">
        <v>1.2941590060356082E-2</v>
      </c>
      <c r="BL21" s="36">
        <v>2.9202587773162023E-2</v>
      </c>
      <c r="BM21" s="36">
        <v>3.518990811934309E-2</v>
      </c>
      <c r="BN21" s="36">
        <v>3.7662742227960941E-2</v>
      </c>
    </row>
    <row r="22" spans="1:66">
      <c r="A22" s="36">
        <v>0.9621514845172543</v>
      </c>
      <c r="B22" s="36">
        <v>1.3435020498478893</v>
      </c>
      <c r="C22" s="36">
        <v>1.6064372592937262</v>
      </c>
      <c r="D22" s="36">
        <v>0.31729194070928352</v>
      </c>
      <c r="E22" s="36">
        <v>2.78395149081223</v>
      </c>
      <c r="F22" s="36">
        <v>10.784628869085818</v>
      </c>
      <c r="G22" s="36">
        <v>227.04870884993491</v>
      </c>
      <c r="H22" s="36">
        <v>15118.765561478254</v>
      </c>
      <c r="I22" s="36">
        <v>1679.2854985453307</v>
      </c>
      <c r="J22" s="36">
        <v>1.2482124289227445</v>
      </c>
      <c r="K22" s="36">
        <v>1.0963046039046336E-2</v>
      </c>
      <c r="L22" s="36">
        <v>1.1046564707420384E-2</v>
      </c>
      <c r="M22" s="36">
        <v>1.0717738741066463E-2</v>
      </c>
      <c r="N22" s="36">
        <v>1.2012404541471181E-2</v>
      </c>
      <c r="O22" s="36">
        <v>1.2918910988518183E-2</v>
      </c>
      <c r="P22" s="36">
        <v>1.4629790849444017E-2</v>
      </c>
      <c r="Q22" s="36">
        <v>1.4239712112222302E-2</v>
      </c>
      <c r="R22" s="36">
        <v>1.5239275552966372E-2</v>
      </c>
      <c r="S22" s="36">
        <v>1.5783004043183634E-2</v>
      </c>
      <c r="T22" s="36">
        <v>1.954652591868573E-2</v>
      </c>
      <c r="U22" s="36">
        <v>2.2346415252088043E-2</v>
      </c>
      <c r="V22" s="36">
        <v>3.1129602615095293E-2</v>
      </c>
      <c r="W22" s="36">
        <v>3.6420346822685551E-2</v>
      </c>
      <c r="X22" s="36">
        <v>3.7925012872763231E-2</v>
      </c>
      <c r="Y22" s="36">
        <v>1.1195282958433102E-3</v>
      </c>
      <c r="Z22" s="36">
        <v>1.2978204262184794E-3</v>
      </c>
      <c r="AA22" s="36">
        <v>1.2503603029815102E-3</v>
      </c>
      <c r="AB22" s="36">
        <v>1.8557803645415953E-3</v>
      </c>
      <c r="AC22" s="36">
        <v>2.4784786219921463E-3</v>
      </c>
      <c r="AD22" s="36">
        <v>3.2663839375185284E-3</v>
      </c>
      <c r="AE22" s="36">
        <v>4.3194874176890703E-3</v>
      </c>
      <c r="AF22" s="36">
        <v>5.1826439410110753E-3</v>
      </c>
      <c r="AG22" s="36">
        <v>5.9154464931947251E-3</v>
      </c>
      <c r="AH22" s="36">
        <v>7.196681035100648E-3</v>
      </c>
      <c r="AI22" s="36">
        <v>1.1687767096208413E-2</v>
      </c>
      <c r="AJ22" s="36">
        <v>2.0850678095827625E-2</v>
      </c>
      <c r="AK22" s="36">
        <v>2.5435659790836004E-2</v>
      </c>
      <c r="AL22" s="36">
        <v>2.6717854304368609E-2</v>
      </c>
      <c r="AM22" s="36">
        <v>4.7552503498418377E-3</v>
      </c>
      <c r="AN22" s="36">
        <v>5.3724772275178748E-3</v>
      </c>
      <c r="AO22" s="36">
        <v>4.8742750668149511E-3</v>
      </c>
      <c r="AP22" s="36">
        <v>5.6321307743190368E-3</v>
      </c>
      <c r="AQ22" s="36">
        <v>5.9724521050820581E-3</v>
      </c>
      <c r="AR22" s="36">
        <v>5.7748970954284058E-3</v>
      </c>
      <c r="AS22" s="36">
        <v>7.0577690255067714E-3</v>
      </c>
      <c r="AT22" s="36">
        <v>8.4988281860631353E-3</v>
      </c>
      <c r="AU22" s="36">
        <v>8.9319312507364357E-3</v>
      </c>
      <c r="AV22" s="36">
        <v>1.0671850999381702E-2</v>
      </c>
      <c r="AW22" s="36">
        <v>1.6396150215041837E-2</v>
      </c>
      <c r="AX22" s="36">
        <v>2.7071438217524391E-2</v>
      </c>
      <c r="AY22" s="36">
        <v>3.2269480778901863E-2</v>
      </c>
      <c r="AZ22" s="36">
        <v>3.4214072806476169E-2</v>
      </c>
      <c r="BA22" s="36">
        <v>1.2976712499538658E-3</v>
      </c>
      <c r="BB22" s="36">
        <v>1.8901178577983202E-3</v>
      </c>
      <c r="BC22" s="36">
        <v>1.8567779613508834E-3</v>
      </c>
      <c r="BD22" s="36">
        <v>2.4728249105834231E-3</v>
      </c>
      <c r="BE22" s="36">
        <v>2.9790122705063739E-3</v>
      </c>
      <c r="BF22" s="36">
        <v>3.2524016049054801E-3</v>
      </c>
      <c r="BG22" s="36">
        <v>4.8273492627320938E-3</v>
      </c>
      <c r="BH22" s="36">
        <v>6.2898958238366189E-3</v>
      </c>
      <c r="BI22" s="36">
        <v>5.1411899372517311E-3</v>
      </c>
      <c r="BJ22" s="36">
        <v>6.4619962941168249E-3</v>
      </c>
      <c r="BK22" s="36">
        <v>1.2384322773217774E-2</v>
      </c>
      <c r="BL22" s="36">
        <v>2.8358921515130565E-2</v>
      </c>
      <c r="BM22" s="36">
        <v>3.4427421087910193E-2</v>
      </c>
      <c r="BN22" s="36">
        <v>3.6972058567081766E-2</v>
      </c>
    </row>
    <row r="23" spans="1:66">
      <c r="A23" s="36">
        <v>0.97321873342311671</v>
      </c>
      <c r="B23" s="36">
        <v>1.3480518825658812</v>
      </c>
      <c r="C23" s="36">
        <v>1.6148112023435282</v>
      </c>
      <c r="D23" s="36">
        <v>0.32058961036160571</v>
      </c>
      <c r="E23" s="36">
        <v>2.7593468509267347</v>
      </c>
      <c r="F23" s="36">
        <v>10.798779904767175</v>
      </c>
      <c r="G23" s="36">
        <v>221.37268412782336</v>
      </c>
      <c r="H23" s="36">
        <v>15118.766674413297</v>
      </c>
      <c r="I23" s="36">
        <v>1679.2858099587522</v>
      </c>
      <c r="J23" s="36">
        <v>1.2577189830903597</v>
      </c>
      <c r="K23" s="36">
        <v>1.115508948908895E-2</v>
      </c>
      <c r="L23" s="36">
        <v>1.1150341876467795E-2</v>
      </c>
      <c r="M23" s="36">
        <v>1.0753195437111203E-2</v>
      </c>
      <c r="N23" s="36">
        <v>1.2138979441473517E-2</v>
      </c>
      <c r="O23" s="36">
        <v>1.290123556268827E-2</v>
      </c>
      <c r="P23" s="36">
        <v>1.4706736050005954E-2</v>
      </c>
      <c r="Q23" s="36">
        <v>1.4266661772926079E-2</v>
      </c>
      <c r="R23" s="36">
        <v>1.5780610081990765E-2</v>
      </c>
      <c r="S23" s="36">
        <v>1.6355600824909302E-2</v>
      </c>
      <c r="T23" s="36">
        <v>2.0513661409663986E-2</v>
      </c>
      <c r="U23" s="36">
        <v>2.3565898866171445E-2</v>
      </c>
      <c r="V23" s="36">
        <v>3.2457454068776613E-2</v>
      </c>
      <c r="W23" s="36">
        <v>3.7641496686950611E-2</v>
      </c>
      <c r="X23" s="36">
        <v>3.9105866246174854E-2</v>
      </c>
      <c r="Y23" s="36">
        <v>2.8441623559390212E-3</v>
      </c>
      <c r="Z23" s="36">
        <v>1.4273013610498412E-3</v>
      </c>
      <c r="AA23" s="36">
        <v>1.3267324524695527E-3</v>
      </c>
      <c r="AB23" s="36">
        <v>1.9930859474308468E-3</v>
      </c>
      <c r="AC23" s="36">
        <v>2.5900207079305399E-3</v>
      </c>
      <c r="AD23" s="36">
        <v>3.3971221174889468E-3</v>
      </c>
      <c r="AE23" s="36">
        <v>4.4297854745453088E-3</v>
      </c>
      <c r="AF23" s="36">
        <v>5.2928417850803709E-3</v>
      </c>
      <c r="AG23" s="36">
        <v>6.2401871946304267E-3</v>
      </c>
      <c r="AH23" s="36">
        <v>7.7562036948510705E-3</v>
      </c>
      <c r="AI23" s="36">
        <v>1.2590672259304391E-2</v>
      </c>
      <c r="AJ23" s="36">
        <v>2.1760826875611261E-2</v>
      </c>
      <c r="AK23" s="36">
        <v>2.6195491152194758E-2</v>
      </c>
      <c r="AL23" s="36">
        <v>2.7405023580271658E-2</v>
      </c>
      <c r="AM23" s="36">
        <v>4.5870550734453059E-3</v>
      </c>
      <c r="AN23" s="36">
        <v>5.1493137446873101E-3</v>
      </c>
      <c r="AO23" s="36">
        <v>4.835359611516132E-3</v>
      </c>
      <c r="AP23" s="36">
        <v>5.6275683128170989E-3</v>
      </c>
      <c r="AQ23" s="36">
        <v>5.9924038457071461E-3</v>
      </c>
      <c r="AR23" s="36">
        <v>5.833484715810292E-3</v>
      </c>
      <c r="AS23" s="36">
        <v>7.1687298230715376E-3</v>
      </c>
      <c r="AT23" s="36">
        <v>8.6301470606341118E-3</v>
      </c>
      <c r="AU23" s="36">
        <v>9.5530720631266889E-3</v>
      </c>
      <c r="AV23" s="36">
        <v>1.1582997671725003E-2</v>
      </c>
      <c r="AW23" s="36">
        <v>1.774650256689311E-2</v>
      </c>
      <c r="AX23" s="36">
        <v>2.839252742734126E-2</v>
      </c>
      <c r="AY23" s="36">
        <v>3.3307997989351606E-2</v>
      </c>
      <c r="AZ23" s="36">
        <v>3.5001840515073004E-2</v>
      </c>
      <c r="BA23" s="36">
        <v>1.5482327054156526E-3</v>
      </c>
      <c r="BB23" s="36">
        <v>1.5832365106441231E-3</v>
      </c>
      <c r="BC23" s="36">
        <v>1.8161972776774187E-3</v>
      </c>
      <c r="BD23" s="36">
        <v>2.5526794604911855E-3</v>
      </c>
      <c r="BE23" s="36">
        <v>3.0603396476147709E-3</v>
      </c>
      <c r="BF23" s="36">
        <v>3.3675671744411678E-3</v>
      </c>
      <c r="BG23" s="36">
        <v>4.9941204690990707E-3</v>
      </c>
      <c r="BH23" s="36">
        <v>6.4882496470918573E-3</v>
      </c>
      <c r="BI23" s="36">
        <v>5.7292438807705175E-3</v>
      </c>
      <c r="BJ23" s="36">
        <v>7.2795833054058803E-3</v>
      </c>
      <c r="BK23" s="36">
        <v>1.3775299384593166E-2</v>
      </c>
      <c r="BL23" s="36">
        <v>3.0060048545952015E-2</v>
      </c>
      <c r="BM23" s="36">
        <v>3.5783412072145346E-2</v>
      </c>
      <c r="BN23" s="36">
        <v>3.8206484340807111E-2</v>
      </c>
    </row>
    <row r="24" spans="1:66">
      <c r="A24" s="36">
        <v>0.96391982236155838</v>
      </c>
      <c r="B24" s="36">
        <v>1.3452821293094195</v>
      </c>
      <c r="C24" s="36">
        <v>1.6067844469542218</v>
      </c>
      <c r="D24" s="36">
        <v>0.31837832035797642</v>
      </c>
      <c r="E24" s="36">
        <v>2.7943690741355018</v>
      </c>
      <c r="F24" s="36">
        <v>10.932502328771566</v>
      </c>
      <c r="G24" s="36">
        <v>223.48390029141794</v>
      </c>
      <c r="H24" s="36">
        <v>15118.760925699735</v>
      </c>
      <c r="I24" s="36">
        <v>1679.279561994437</v>
      </c>
      <c r="J24" s="36">
        <v>1.2213343125850789</v>
      </c>
      <c r="K24" s="36">
        <v>1.1168946331747556E-2</v>
      </c>
      <c r="L24" s="36">
        <v>1.0724085481488951E-2</v>
      </c>
      <c r="M24" s="36">
        <v>1.0525373687532216E-2</v>
      </c>
      <c r="N24" s="36">
        <v>1.1872534803859532E-2</v>
      </c>
      <c r="O24" s="36">
        <v>1.2797950905128032E-2</v>
      </c>
      <c r="P24" s="36">
        <v>1.4536154830829534E-2</v>
      </c>
      <c r="Q24" s="36">
        <v>1.4125711499325833E-2</v>
      </c>
      <c r="R24" s="36">
        <v>1.5962272944454348E-2</v>
      </c>
      <c r="S24" s="36">
        <v>1.588838511507629E-2</v>
      </c>
      <c r="T24" s="36">
        <v>1.968797921820711E-2</v>
      </c>
      <c r="U24" s="36">
        <v>2.2584375784767498E-2</v>
      </c>
      <c r="V24" s="36">
        <v>3.1541445826339908E-2</v>
      </c>
      <c r="W24" s="36">
        <v>3.6919360877411544E-2</v>
      </c>
      <c r="X24" s="36">
        <v>3.8484722148656822E-2</v>
      </c>
      <c r="Y24" s="36">
        <v>1.4713102861612375E-3</v>
      </c>
      <c r="Z24" s="36">
        <v>1.4340382938773284E-3</v>
      </c>
      <c r="AA24" s="36">
        <v>1.2883283509877923E-3</v>
      </c>
      <c r="AB24" s="36">
        <v>1.909025407893348E-3</v>
      </c>
      <c r="AC24" s="36">
        <v>2.5247924566077825E-3</v>
      </c>
      <c r="AD24" s="36">
        <v>3.3198874733556022E-3</v>
      </c>
      <c r="AE24" s="36">
        <v>4.3552205730424268E-3</v>
      </c>
      <c r="AF24" s="36">
        <v>5.2140115930694496E-3</v>
      </c>
      <c r="AG24" s="36">
        <v>5.9582392790038753E-3</v>
      </c>
      <c r="AH24" s="36">
        <v>7.2784523613278361E-3</v>
      </c>
      <c r="AI24" s="36">
        <v>1.1791412829499389E-2</v>
      </c>
      <c r="AJ24" s="36">
        <v>2.0983462071477617E-2</v>
      </c>
      <c r="AK24" s="36">
        <v>2.5622243796289853E-2</v>
      </c>
      <c r="AL24" s="36">
        <v>2.6892103242237599E-2</v>
      </c>
      <c r="AM24" s="36">
        <v>4.700105119102533E-3</v>
      </c>
      <c r="AN24" s="36">
        <v>5.3581473161501145E-3</v>
      </c>
      <c r="AO24" s="36">
        <v>4.875679207412352E-3</v>
      </c>
      <c r="AP24" s="36">
        <v>5.6396881609422685E-3</v>
      </c>
      <c r="AQ24" s="36">
        <v>5.985118180391792E-3</v>
      </c>
      <c r="AR24" s="36">
        <v>5.7996320137365959E-3</v>
      </c>
      <c r="AS24" s="36">
        <v>7.0926346224308807E-3</v>
      </c>
      <c r="AT24" s="36">
        <v>8.5265893444552623E-3</v>
      </c>
      <c r="AU24" s="36">
        <v>9.0271005207040785E-3</v>
      </c>
      <c r="AV24" s="36">
        <v>1.0781390104503193E-2</v>
      </c>
      <c r="AW24" s="36">
        <v>1.6560884585982431E-2</v>
      </c>
      <c r="AX24" s="36">
        <v>2.7331991228047196E-2</v>
      </c>
      <c r="AY24" s="36">
        <v>3.2509418858604471E-2</v>
      </c>
      <c r="AZ24" s="36">
        <v>3.4483729486376687E-2</v>
      </c>
      <c r="BA24" s="36">
        <v>9.2376695143120413E-4</v>
      </c>
      <c r="BB24" s="36">
        <v>1.8327585187585301E-3</v>
      </c>
      <c r="BC24" s="36">
        <v>1.8590911219186427E-3</v>
      </c>
      <c r="BD24" s="36">
        <v>2.503032624328418E-3</v>
      </c>
      <c r="BE24" s="36">
        <v>2.9978425573495664E-3</v>
      </c>
      <c r="BF24" s="36">
        <v>3.2929535767626692E-3</v>
      </c>
      <c r="BG24" s="36">
        <v>4.872908236412711E-3</v>
      </c>
      <c r="BH24" s="36">
        <v>6.3311739952590903E-3</v>
      </c>
      <c r="BI24" s="36">
        <v>5.2706897207437167E-3</v>
      </c>
      <c r="BJ24" s="36">
        <v>6.5914693748159456E-3</v>
      </c>
      <c r="BK24" s="36">
        <v>1.258287857238188E-2</v>
      </c>
      <c r="BL24" s="36">
        <v>2.8721333798294352E-2</v>
      </c>
      <c r="BM24" s="36">
        <v>3.470836471877424E-2</v>
      </c>
      <c r="BN24" s="36">
        <v>3.7332965768338514E-2</v>
      </c>
    </row>
    <row r="25" spans="1:66">
      <c r="A25" s="36">
        <v>0.96781316726771383</v>
      </c>
      <c r="B25" s="36">
        <v>1.3450479536086153</v>
      </c>
      <c r="C25" s="36">
        <v>1.6092491553333799</v>
      </c>
      <c r="D25" s="36">
        <v>0.31900686461600453</v>
      </c>
      <c r="E25" s="36">
        <v>2.788395748648389</v>
      </c>
      <c r="F25" s="36">
        <v>10.986078449954494</v>
      </c>
      <c r="G25" s="36">
        <v>222.24301221337635</v>
      </c>
      <c r="H25" s="36">
        <v>15118.766856240505</v>
      </c>
      <c r="I25" s="36">
        <v>1679.2852621333966</v>
      </c>
      <c r="J25" s="36">
        <v>1.2517453209280254</v>
      </c>
      <c r="K25" s="36">
        <v>1.1653907456866515E-2</v>
      </c>
      <c r="L25" s="36">
        <v>1.1037118258700887E-2</v>
      </c>
      <c r="M25" s="36">
        <v>1.0549348347932459E-2</v>
      </c>
      <c r="N25" s="36">
        <v>1.1931470638040583E-2</v>
      </c>
      <c r="O25" s="36">
        <v>1.2810153694702231E-2</v>
      </c>
      <c r="P25" s="36">
        <v>1.4516013463865522E-2</v>
      </c>
      <c r="Q25" s="36">
        <v>1.4217784769162571E-2</v>
      </c>
      <c r="R25" s="36">
        <v>1.5424514548981041E-2</v>
      </c>
      <c r="S25" s="36">
        <v>1.5865387403348148E-2</v>
      </c>
      <c r="T25" s="36">
        <v>1.9640935378929913E-2</v>
      </c>
      <c r="U25" s="36">
        <v>2.2408890200501318E-2</v>
      </c>
      <c r="V25" s="36">
        <v>3.1118840006927984E-2</v>
      </c>
      <c r="W25" s="36">
        <v>3.6318004761818561E-2</v>
      </c>
      <c r="X25" s="36">
        <v>3.7817863517736153E-2</v>
      </c>
      <c r="Y25" s="36">
        <v>1.5253322021012714E-3</v>
      </c>
      <c r="Z25" s="36">
        <v>1.5052411881529501E-3</v>
      </c>
      <c r="AA25" s="36">
        <v>1.3128478757025875E-3</v>
      </c>
      <c r="AB25" s="36">
        <v>1.9274119182370261E-3</v>
      </c>
      <c r="AC25" s="36">
        <v>2.54062261667375E-3</v>
      </c>
      <c r="AD25" s="36">
        <v>3.326113385461028E-3</v>
      </c>
      <c r="AE25" s="36">
        <v>4.3483630302200479E-3</v>
      </c>
      <c r="AF25" s="36">
        <v>5.2009645009592183E-3</v>
      </c>
      <c r="AG25" s="36">
        <v>5.9544497062000773E-3</v>
      </c>
      <c r="AH25" s="36">
        <v>7.2377455171052825E-3</v>
      </c>
      <c r="AI25" s="36">
        <v>1.1794845140197604E-2</v>
      </c>
      <c r="AJ25" s="36">
        <v>2.0870436809579469E-2</v>
      </c>
      <c r="AK25" s="36">
        <v>2.536256920902517E-2</v>
      </c>
      <c r="AL25" s="36">
        <v>2.6690039657644927E-2</v>
      </c>
      <c r="AM25" s="36">
        <v>4.7122262698573395E-3</v>
      </c>
      <c r="AN25" s="36">
        <v>5.2136972153306021E-3</v>
      </c>
      <c r="AO25" s="36">
        <v>4.8419733696878284E-3</v>
      </c>
      <c r="AP25" s="36">
        <v>5.6229385546691067E-3</v>
      </c>
      <c r="AQ25" s="36">
        <v>5.9750461447480967E-3</v>
      </c>
      <c r="AR25" s="36">
        <v>5.7906359191154874E-3</v>
      </c>
      <c r="AS25" s="36">
        <v>7.075906784725923E-3</v>
      </c>
      <c r="AT25" s="36">
        <v>8.4987090012562036E-3</v>
      </c>
      <c r="AU25" s="36">
        <v>8.9733408347026974E-3</v>
      </c>
      <c r="AV25" s="36">
        <v>1.0591242890267173E-2</v>
      </c>
      <c r="AW25" s="36">
        <v>1.6298787841481484E-2</v>
      </c>
      <c r="AX25" s="36">
        <v>2.6901050261660227E-2</v>
      </c>
      <c r="AY25" s="36">
        <v>3.208516149454986E-2</v>
      </c>
      <c r="AZ25" s="36">
        <v>3.4058053655623886E-2</v>
      </c>
      <c r="BA25" s="36">
        <v>1.0332842638106283E-3</v>
      </c>
      <c r="BB25" s="36">
        <v>1.6461454865435048E-3</v>
      </c>
      <c r="BC25" s="36">
        <v>1.8082284028275459E-3</v>
      </c>
      <c r="BD25" s="36">
        <v>2.488966376035795E-3</v>
      </c>
      <c r="BE25" s="36">
        <v>3.0022997673893768E-3</v>
      </c>
      <c r="BF25" s="36">
        <v>3.2970946751584482E-3</v>
      </c>
      <c r="BG25" s="36">
        <v>4.8759823791738252E-3</v>
      </c>
      <c r="BH25" s="36">
        <v>6.3319770237825904E-3</v>
      </c>
      <c r="BI25" s="36">
        <v>5.1932036009607755E-3</v>
      </c>
      <c r="BJ25" s="36">
        <v>6.5148606591951949E-3</v>
      </c>
      <c r="BK25" s="36">
        <v>1.2511301494685986E-2</v>
      </c>
      <c r="BL25" s="36">
        <v>2.8439069411910101E-2</v>
      </c>
      <c r="BM25" s="36">
        <v>3.4339337309051803E-2</v>
      </c>
      <c r="BN25" s="36">
        <v>3.6866124300070593E-2</v>
      </c>
    </row>
    <row r="26" spans="1:66">
      <c r="A26" s="36">
        <v>0.9673384319036239</v>
      </c>
      <c r="B26" s="36">
        <v>1.3491567657642216</v>
      </c>
      <c r="C26" s="36">
        <v>1.6120246116517616</v>
      </c>
      <c r="D26" s="36">
        <v>0.31892948089590822</v>
      </c>
      <c r="E26" s="36">
        <v>2.7702409331880307</v>
      </c>
      <c r="F26" s="36">
        <v>10.728868684052607</v>
      </c>
      <c r="G26" s="36">
        <v>222.47762116914629</v>
      </c>
      <c r="H26" s="36">
        <v>15118.763642699892</v>
      </c>
      <c r="I26" s="36">
        <v>1679.2802654828724</v>
      </c>
      <c r="J26" s="36">
        <v>1.24093332576521</v>
      </c>
      <c r="K26" s="36">
        <v>1.1093178173890559E-2</v>
      </c>
      <c r="L26" s="36">
        <v>1.1088714819711604E-2</v>
      </c>
      <c r="M26" s="36">
        <v>1.0681252400032929E-2</v>
      </c>
      <c r="N26" s="36">
        <v>1.19753364277707E-2</v>
      </c>
      <c r="O26" s="36">
        <v>1.2817510174286208E-2</v>
      </c>
      <c r="P26" s="36">
        <v>1.4443590521969585E-2</v>
      </c>
      <c r="Q26" s="36">
        <v>1.4135381635020356E-2</v>
      </c>
      <c r="R26" s="36">
        <v>1.5364816797356011E-2</v>
      </c>
      <c r="S26" s="36">
        <v>1.6031643646511981E-2</v>
      </c>
      <c r="T26" s="36">
        <v>1.9966086228698086E-2</v>
      </c>
      <c r="U26" s="36">
        <v>2.3027265250438394E-2</v>
      </c>
      <c r="V26" s="36">
        <v>3.1856056209853746E-2</v>
      </c>
      <c r="W26" s="36">
        <v>3.7190605406338881E-2</v>
      </c>
      <c r="X26" s="36">
        <v>3.8664817802694908E-2</v>
      </c>
      <c r="Y26" s="36">
        <v>1.1348849836420127E-3</v>
      </c>
      <c r="Z26" s="36">
        <v>1.3009461155106918E-3</v>
      </c>
      <c r="AA26" s="36">
        <v>1.2531889329800822E-3</v>
      </c>
      <c r="AB26" s="36">
        <v>1.8547020848508765E-3</v>
      </c>
      <c r="AC26" s="36">
        <v>2.4719782371367348E-3</v>
      </c>
      <c r="AD26" s="36">
        <v>3.2948789239427463E-3</v>
      </c>
      <c r="AE26" s="36">
        <v>4.3436808458665365E-3</v>
      </c>
      <c r="AF26" s="36">
        <v>5.2163845640417102E-3</v>
      </c>
      <c r="AG26" s="36">
        <v>5.9850398059676816E-3</v>
      </c>
      <c r="AH26" s="36">
        <v>7.4402030992601299E-3</v>
      </c>
      <c r="AI26" s="36">
        <v>1.2081453816762502E-2</v>
      </c>
      <c r="AJ26" s="36">
        <v>2.1366635233850333E-2</v>
      </c>
      <c r="AK26" s="36">
        <v>2.5910853634301276E-2</v>
      </c>
      <c r="AL26" s="36">
        <v>2.7223095188777892E-2</v>
      </c>
      <c r="AM26" s="36">
        <v>4.7717343103549281E-3</v>
      </c>
      <c r="AN26" s="36">
        <v>5.3178727152806528E-3</v>
      </c>
      <c r="AO26" s="36">
        <v>4.8651639826787314E-3</v>
      </c>
      <c r="AP26" s="36">
        <v>5.6282190910665929E-3</v>
      </c>
      <c r="AQ26" s="36">
        <v>5.9720372284988287E-3</v>
      </c>
      <c r="AR26" s="36">
        <v>5.7853971125161174E-3</v>
      </c>
      <c r="AS26" s="36">
        <v>7.0821071119095786E-3</v>
      </c>
      <c r="AT26" s="36">
        <v>8.5306372539479761E-3</v>
      </c>
      <c r="AU26" s="36">
        <v>9.2750547987680634E-3</v>
      </c>
      <c r="AV26" s="36">
        <v>1.1163127880831018E-2</v>
      </c>
      <c r="AW26" s="36">
        <v>1.712457270664746E-2</v>
      </c>
      <c r="AX26" s="36">
        <v>2.79434032434666E-2</v>
      </c>
      <c r="AY26" s="36">
        <v>3.3053111327630058E-2</v>
      </c>
      <c r="AZ26" s="36">
        <v>3.4871789953783844E-2</v>
      </c>
      <c r="BA26" s="36">
        <v>1.0482699296394612E-3</v>
      </c>
      <c r="BB26" s="36">
        <v>1.7075173922209701E-3</v>
      </c>
      <c r="BC26" s="36">
        <v>1.807950345032232E-3</v>
      </c>
      <c r="BD26" s="36">
        <v>2.4427562558744093E-3</v>
      </c>
      <c r="BE26" s="36">
        <v>2.9538468877866797E-3</v>
      </c>
      <c r="BF26" s="36">
        <v>3.2669948978448515E-3</v>
      </c>
      <c r="BG26" s="36">
        <v>4.8568681820460799E-3</v>
      </c>
      <c r="BH26" s="36">
        <v>6.3288916132135343E-3</v>
      </c>
      <c r="BI26" s="36">
        <v>5.3764120778674665E-3</v>
      </c>
      <c r="BJ26" s="36">
        <v>6.7837765846396475E-3</v>
      </c>
      <c r="BK26" s="36">
        <v>1.2974747541258796E-2</v>
      </c>
      <c r="BL26" s="36">
        <v>2.9068336186389293E-2</v>
      </c>
      <c r="BM26" s="36">
        <v>3.5096697088311785E-2</v>
      </c>
      <c r="BN26" s="36">
        <v>3.7574772470284616E-2</v>
      </c>
    </row>
    <row r="27" spans="1:66">
      <c r="A27" s="36">
        <v>0.96818071455244081</v>
      </c>
      <c r="B27" s="36">
        <v>1.3451780672263267</v>
      </c>
      <c r="C27" s="36">
        <v>1.6111400692272084</v>
      </c>
      <c r="D27" s="36">
        <v>0.31833909142381672</v>
      </c>
      <c r="E27" s="36">
        <v>2.7695710564931662</v>
      </c>
      <c r="F27" s="36">
        <v>10.743763714463084</v>
      </c>
      <c r="G27" s="36">
        <v>221.00980034377883</v>
      </c>
      <c r="H27" s="36">
        <v>15118.765214070963</v>
      </c>
      <c r="I27" s="36">
        <v>1679.2834577068932</v>
      </c>
      <c r="J27" s="36">
        <v>1.2306675450936133</v>
      </c>
      <c r="K27" s="36">
        <v>1.116068579436014E-2</v>
      </c>
      <c r="L27" s="36">
        <v>1.1108118178749035E-2</v>
      </c>
      <c r="M27" s="36">
        <v>1.0744542685127275E-2</v>
      </c>
      <c r="N27" s="36">
        <v>1.2144194425238392E-2</v>
      </c>
      <c r="O27" s="36">
        <v>1.2922716366500442E-2</v>
      </c>
      <c r="P27" s="36">
        <v>1.4614163421876318E-2</v>
      </c>
      <c r="Q27" s="36">
        <v>1.4321924567021712E-2</v>
      </c>
      <c r="R27" s="36">
        <v>1.501192066354815E-2</v>
      </c>
      <c r="S27" s="36">
        <v>1.58353402130589E-2</v>
      </c>
      <c r="T27" s="36">
        <v>1.9646275439058503E-2</v>
      </c>
      <c r="U27" s="36">
        <v>2.2519797209754184E-2</v>
      </c>
      <c r="V27" s="36">
        <v>3.1334311442218953E-2</v>
      </c>
      <c r="W27" s="36">
        <v>3.6618229323311886E-2</v>
      </c>
      <c r="X27" s="36">
        <v>3.8113992555397949E-2</v>
      </c>
      <c r="Y27" s="36">
        <v>1.8367637740157199E-3</v>
      </c>
      <c r="Z27" s="36">
        <v>1.4744802494602934E-3</v>
      </c>
      <c r="AA27" s="36">
        <v>1.3086208106759293E-3</v>
      </c>
      <c r="AB27" s="36">
        <v>1.9276319275239211E-3</v>
      </c>
      <c r="AC27" s="36">
        <v>2.5470326238559988E-3</v>
      </c>
      <c r="AD27" s="36">
        <v>3.318985792787295E-3</v>
      </c>
      <c r="AE27" s="36">
        <v>4.358877692943435E-3</v>
      </c>
      <c r="AF27" s="36">
        <v>5.2083130199317117E-3</v>
      </c>
      <c r="AG27" s="36">
        <v>5.9268020579464689E-3</v>
      </c>
      <c r="AH27" s="36">
        <v>7.2889089484123731E-3</v>
      </c>
      <c r="AI27" s="36">
        <v>1.1896222207782437E-2</v>
      </c>
      <c r="AJ27" s="36">
        <v>2.1140287393103349E-2</v>
      </c>
      <c r="AK27" s="36">
        <v>2.5689080923697819E-2</v>
      </c>
      <c r="AL27" s="36">
        <v>2.711353522292996E-2</v>
      </c>
      <c r="AM27" s="36">
        <v>4.6812983966213976E-3</v>
      </c>
      <c r="AN27" s="36">
        <v>5.2776396123044187E-3</v>
      </c>
      <c r="AO27" s="36">
        <v>4.8596249301000646E-3</v>
      </c>
      <c r="AP27" s="36">
        <v>5.6335877316445217E-3</v>
      </c>
      <c r="AQ27" s="36">
        <v>5.9817904801822159E-3</v>
      </c>
      <c r="AR27" s="36">
        <v>5.788440119713802E-3</v>
      </c>
      <c r="AS27" s="36">
        <v>7.0839173728299227E-3</v>
      </c>
      <c r="AT27" s="36">
        <v>8.5223793402214795E-3</v>
      </c>
      <c r="AU27" s="36">
        <v>9.0900165656678418E-3</v>
      </c>
      <c r="AV27" s="36">
        <v>1.0847743585154137E-2</v>
      </c>
      <c r="AW27" s="36">
        <v>1.6626637707821246E-2</v>
      </c>
      <c r="AX27" s="36">
        <v>2.7416777283663343E-2</v>
      </c>
      <c r="AY27" s="36">
        <v>3.2563427890366085E-2</v>
      </c>
      <c r="AZ27" s="36">
        <v>3.4501321322702262E-2</v>
      </c>
      <c r="BA27" s="36">
        <v>1.3492702332999413E-3</v>
      </c>
      <c r="BB27" s="36">
        <v>1.7500217224138597E-3</v>
      </c>
      <c r="BC27" s="36">
        <v>1.8304286876600865E-3</v>
      </c>
      <c r="BD27" s="36">
        <v>2.4997238903031477E-3</v>
      </c>
      <c r="BE27" s="36">
        <v>3.0180686443062378E-3</v>
      </c>
      <c r="BF27" s="36">
        <v>3.303079856843247E-3</v>
      </c>
      <c r="BG27" s="36">
        <v>4.8932608328389714E-3</v>
      </c>
      <c r="BH27" s="36">
        <v>6.3616574380301744E-3</v>
      </c>
      <c r="BI27" s="36">
        <v>5.157531043336128E-3</v>
      </c>
      <c r="BJ27" s="36">
        <v>6.5176573638616947E-3</v>
      </c>
      <c r="BK27" s="36">
        <v>1.2625159107002097E-2</v>
      </c>
      <c r="BL27" s="36">
        <v>2.8722640832974995E-2</v>
      </c>
      <c r="BM27" s="36">
        <v>3.471004786672062E-2</v>
      </c>
      <c r="BN27" s="36">
        <v>3.7249994983896896E-2</v>
      </c>
    </row>
    <row r="28" spans="1:66">
      <c r="A28" s="36">
        <v>0.97217973916988365</v>
      </c>
      <c r="B28" s="36">
        <v>1.3509933200160094</v>
      </c>
      <c r="C28" s="36">
        <v>1.622814865791387</v>
      </c>
      <c r="D28" s="36">
        <v>0.32091128948395492</v>
      </c>
      <c r="E28" s="36">
        <v>2.8579344193446445</v>
      </c>
      <c r="F28" s="36">
        <v>10.908345078407795</v>
      </c>
      <c r="G28" s="36">
        <v>229.31089118446599</v>
      </c>
      <c r="H28" s="36">
        <v>15118.761867064761</v>
      </c>
      <c r="I28" s="36">
        <v>1679.2814074677326</v>
      </c>
      <c r="J28" s="36">
        <v>1.2308461854383483</v>
      </c>
      <c r="K28" s="36">
        <v>1.1130372132490856E-2</v>
      </c>
      <c r="L28" s="36">
        <v>1.1159542125130708E-2</v>
      </c>
      <c r="M28" s="36">
        <v>1.0675987712152417E-2</v>
      </c>
      <c r="N28" s="36">
        <v>1.2038388190324991E-2</v>
      </c>
      <c r="O28" s="36">
        <v>1.2915063023669654E-2</v>
      </c>
      <c r="P28" s="36">
        <v>1.4716790921323592E-2</v>
      </c>
      <c r="Q28" s="36">
        <v>1.4201063337841928E-2</v>
      </c>
      <c r="R28" s="36">
        <v>1.4856118782945925E-2</v>
      </c>
      <c r="S28" s="36">
        <v>1.5932263379893476E-2</v>
      </c>
      <c r="T28" s="36">
        <v>1.9805109674692435E-2</v>
      </c>
      <c r="U28" s="36">
        <v>2.2624107399606689E-2</v>
      </c>
      <c r="V28" s="36">
        <v>3.152362342036117E-2</v>
      </c>
      <c r="W28" s="36">
        <v>3.6773612963714661E-2</v>
      </c>
      <c r="X28" s="36">
        <v>3.8283073522354327E-2</v>
      </c>
      <c r="Y28" s="36">
        <v>3.7170585643376513E-3</v>
      </c>
      <c r="Z28" s="36">
        <v>1.5361088615943842E-3</v>
      </c>
      <c r="AA28" s="36">
        <v>1.3010759994484648E-3</v>
      </c>
      <c r="AB28" s="36">
        <v>1.9423814059175626E-3</v>
      </c>
      <c r="AC28" s="36">
        <v>2.5550032694268321E-3</v>
      </c>
      <c r="AD28" s="36">
        <v>3.3195902982814116E-3</v>
      </c>
      <c r="AE28" s="36">
        <v>4.3613983511450625E-3</v>
      </c>
      <c r="AF28" s="36">
        <v>5.2242224782665467E-3</v>
      </c>
      <c r="AG28" s="36">
        <v>6.0379591722213447E-3</v>
      </c>
      <c r="AH28" s="36">
        <v>7.3062596652451964E-3</v>
      </c>
      <c r="AI28" s="36">
        <v>1.1867158267728934E-2</v>
      </c>
      <c r="AJ28" s="36">
        <v>2.1028285216438802E-2</v>
      </c>
      <c r="AK28" s="36">
        <v>2.5524899734790128E-2</v>
      </c>
      <c r="AL28" s="36">
        <v>2.6831948104798085E-2</v>
      </c>
      <c r="AM28" s="36">
        <v>4.6493452458679294E-3</v>
      </c>
      <c r="AN28" s="36">
        <v>5.2998275416308444E-3</v>
      </c>
      <c r="AO28" s="36">
        <v>4.8631238023045392E-3</v>
      </c>
      <c r="AP28" s="36">
        <v>5.6395414488849471E-3</v>
      </c>
      <c r="AQ28" s="36">
        <v>5.9899502281893346E-3</v>
      </c>
      <c r="AR28" s="36">
        <v>5.7985101413510539E-3</v>
      </c>
      <c r="AS28" s="36">
        <v>7.0840454573425403E-3</v>
      </c>
      <c r="AT28" s="36">
        <v>8.5124381463827486E-3</v>
      </c>
      <c r="AU28" s="36">
        <v>9.0774222790609514E-3</v>
      </c>
      <c r="AV28" s="36">
        <v>1.0823057369924729E-2</v>
      </c>
      <c r="AW28" s="36">
        <v>1.6501738117052907E-2</v>
      </c>
      <c r="AX28" s="36">
        <v>2.7236389888978814E-2</v>
      </c>
      <c r="AY28" s="36">
        <v>3.2408844766100356E-2</v>
      </c>
      <c r="AZ28" s="36">
        <v>3.4396405555164024E-2</v>
      </c>
      <c r="BA28" s="36">
        <v>1.2269609261115499E-3</v>
      </c>
      <c r="BB28" s="36">
        <v>2.0136879191878783E-3</v>
      </c>
      <c r="BC28" s="36">
        <v>1.8906736112064737E-3</v>
      </c>
      <c r="BD28" s="36">
        <v>2.5470326577778186E-3</v>
      </c>
      <c r="BE28" s="36">
        <v>3.0364511087461674E-3</v>
      </c>
      <c r="BF28" s="36">
        <v>3.3002914504261858E-3</v>
      </c>
      <c r="BG28" s="36">
        <v>4.8902455989447797E-3</v>
      </c>
      <c r="BH28" s="36">
        <v>6.3615541191854716E-3</v>
      </c>
      <c r="BI28" s="36">
        <v>5.3129619000749206E-3</v>
      </c>
      <c r="BJ28" s="36">
        <v>6.6928408174367167E-3</v>
      </c>
      <c r="BK28" s="36">
        <v>1.2715449531484497E-2</v>
      </c>
      <c r="BL28" s="36">
        <v>2.874763505246997E-2</v>
      </c>
      <c r="BM28" s="36">
        <v>3.4677904366989601E-2</v>
      </c>
      <c r="BN28" s="36">
        <v>3.7217303480167739E-2</v>
      </c>
    </row>
    <row r="29" spans="1:66">
      <c r="A29" s="36">
        <v>0.96468005678979418</v>
      </c>
      <c r="B29" s="36">
        <v>1.3465853388607043</v>
      </c>
      <c r="C29" s="36">
        <v>1.6002430498926559</v>
      </c>
      <c r="D29" s="36">
        <v>0.31757204976886499</v>
      </c>
      <c r="E29" s="36">
        <v>2.8009442273037788</v>
      </c>
      <c r="F29" s="36">
        <v>10.801936685081275</v>
      </c>
      <c r="G29" s="36">
        <v>222.30854500059525</v>
      </c>
      <c r="H29" s="36">
        <v>15118.753318674122</v>
      </c>
      <c r="I29" s="36">
        <v>1679.2730894302351</v>
      </c>
      <c r="J29" s="36">
        <v>1.1995446065150865</v>
      </c>
      <c r="K29" s="36">
        <v>1.0936811349299849E-2</v>
      </c>
      <c r="L29" s="36">
        <v>1.1050504114062536E-2</v>
      </c>
      <c r="M29" s="36">
        <v>1.0468307875646078E-2</v>
      </c>
      <c r="N29" s="36">
        <v>1.1815374742924354E-2</v>
      </c>
      <c r="O29" s="36">
        <v>1.2784015772408184E-2</v>
      </c>
      <c r="P29" s="36">
        <v>1.4445836809416518E-2</v>
      </c>
      <c r="Q29" s="36">
        <v>1.4136264158305338E-2</v>
      </c>
      <c r="R29" s="36">
        <v>1.5174763441923164E-2</v>
      </c>
      <c r="S29" s="36">
        <v>1.5620185793420402E-2</v>
      </c>
      <c r="T29" s="36">
        <v>1.9321446983828212E-2</v>
      </c>
      <c r="U29" s="36">
        <v>2.2071216017242275E-2</v>
      </c>
      <c r="V29" s="36">
        <v>3.0965489923838862E-2</v>
      </c>
      <c r="W29" s="36">
        <v>3.6258794358034571E-2</v>
      </c>
      <c r="X29" s="36">
        <v>3.778217059768009E-2</v>
      </c>
      <c r="Y29" s="36">
        <v>1.0625042075279917E-3</v>
      </c>
      <c r="Z29" s="36">
        <v>1.2906918991210949E-3</v>
      </c>
      <c r="AA29" s="36">
        <v>1.2703502281216155E-3</v>
      </c>
      <c r="AB29" s="36">
        <v>1.8942984146768508E-3</v>
      </c>
      <c r="AC29" s="36">
        <v>2.5115197823900263E-3</v>
      </c>
      <c r="AD29" s="36">
        <v>3.3022306209825551E-3</v>
      </c>
      <c r="AE29" s="36">
        <v>4.3311499336742493E-3</v>
      </c>
      <c r="AF29" s="36">
        <v>5.2076626105666815E-3</v>
      </c>
      <c r="AG29" s="36">
        <v>5.8164405305454695E-3</v>
      </c>
      <c r="AH29" s="36">
        <v>7.139573317692543E-3</v>
      </c>
      <c r="AI29" s="36">
        <v>1.1673461177381847E-2</v>
      </c>
      <c r="AJ29" s="36">
        <v>2.0919769446020618E-2</v>
      </c>
      <c r="AK29" s="36">
        <v>2.558194903261575E-2</v>
      </c>
      <c r="AL29" s="36">
        <v>2.691793510410722E-2</v>
      </c>
      <c r="AM29" s="36">
        <v>4.7966840851538942E-3</v>
      </c>
      <c r="AN29" s="36">
        <v>5.2877729360267002E-3</v>
      </c>
      <c r="AO29" s="36">
        <v>4.8597035757697435E-3</v>
      </c>
      <c r="AP29" s="36">
        <v>5.6322476957947282E-3</v>
      </c>
      <c r="AQ29" s="36">
        <v>5.9739301273886358E-3</v>
      </c>
      <c r="AR29" s="36">
        <v>5.7878372657366086E-3</v>
      </c>
      <c r="AS29" s="36">
        <v>7.0873948103689563E-3</v>
      </c>
      <c r="AT29" s="36">
        <v>8.530124517622974E-3</v>
      </c>
      <c r="AU29" s="36">
        <v>8.8435980261581271E-3</v>
      </c>
      <c r="AV29" s="36">
        <v>1.0478848049582915E-2</v>
      </c>
      <c r="AW29" s="36">
        <v>1.6135256877913114E-2</v>
      </c>
      <c r="AX29" s="36">
        <v>2.7024932715486262E-2</v>
      </c>
      <c r="AY29" s="36">
        <v>3.2206555350224236E-2</v>
      </c>
      <c r="AZ29" s="36">
        <v>3.4239846587142957E-2</v>
      </c>
      <c r="BA29" s="36">
        <v>9.7250212813465944E-4</v>
      </c>
      <c r="BB29" s="36">
        <v>1.5704120997071772E-3</v>
      </c>
      <c r="BC29" s="36">
        <v>1.7735510375127834E-3</v>
      </c>
      <c r="BD29" s="36">
        <v>2.4688830462285924E-3</v>
      </c>
      <c r="BE29" s="36">
        <v>2.9753716224572638E-3</v>
      </c>
      <c r="BF29" s="36">
        <v>3.2803010704608579E-3</v>
      </c>
      <c r="BG29" s="36">
        <v>4.8632357861602138E-3</v>
      </c>
      <c r="BH29" s="36">
        <v>6.3255550699143773E-3</v>
      </c>
      <c r="BI29" s="36">
        <v>5.122429573718907E-3</v>
      </c>
      <c r="BJ29" s="36">
        <v>6.4357103294135284E-3</v>
      </c>
      <c r="BK29" s="36">
        <v>1.2355641084861486E-2</v>
      </c>
      <c r="BL29" s="36">
        <v>2.8321670817997642E-2</v>
      </c>
      <c r="BM29" s="36">
        <v>3.4403904679006309E-2</v>
      </c>
      <c r="BN29" s="36">
        <v>3.6948140321195651E-2</v>
      </c>
    </row>
    <row r="30" spans="1:66">
      <c r="A30" s="36">
        <v>0.98062535318754451</v>
      </c>
      <c r="B30" s="36">
        <v>1.36047483068093</v>
      </c>
      <c r="C30" s="36">
        <v>1.6353888893430029</v>
      </c>
      <c r="D30" s="36">
        <v>0.32458251934101062</v>
      </c>
      <c r="E30" s="36">
        <v>2.8408151081447204</v>
      </c>
      <c r="F30" s="36">
        <v>10.627650889297692</v>
      </c>
      <c r="G30" s="36">
        <v>222.11865498959287</v>
      </c>
      <c r="H30" s="36">
        <v>15118.76399510497</v>
      </c>
      <c r="I30" s="36">
        <v>1679.2836066165501</v>
      </c>
      <c r="J30" s="36">
        <v>1.2500467189677691</v>
      </c>
      <c r="K30" s="36">
        <v>1.0920385634434917E-2</v>
      </c>
      <c r="L30" s="36">
        <v>1.0920588139717175E-2</v>
      </c>
      <c r="M30" s="36">
        <v>1.0618579733139261E-2</v>
      </c>
      <c r="N30" s="36">
        <v>1.1951019833390508E-2</v>
      </c>
      <c r="O30" s="36">
        <v>1.2800175360120533E-2</v>
      </c>
      <c r="P30" s="36">
        <v>1.4538650457671323E-2</v>
      </c>
      <c r="Q30" s="36">
        <v>1.4247973179258883E-2</v>
      </c>
      <c r="R30" s="36">
        <v>1.4740967829032163E-2</v>
      </c>
      <c r="S30" s="36">
        <v>1.6164681157640588E-2</v>
      </c>
      <c r="T30" s="36">
        <v>2.0142169637941368E-2</v>
      </c>
      <c r="U30" s="36">
        <v>2.3200045246624452E-2</v>
      </c>
      <c r="V30" s="36">
        <v>3.2019561164743075E-2</v>
      </c>
      <c r="W30" s="36">
        <v>3.7178617431977076E-2</v>
      </c>
      <c r="X30" s="36">
        <v>3.860079757158922E-2</v>
      </c>
      <c r="Y30" s="36">
        <v>8.807087192057284E-4</v>
      </c>
      <c r="Z30" s="36">
        <v>1.4328926740262652E-3</v>
      </c>
      <c r="AA30" s="36">
        <v>1.2876223708392185E-3</v>
      </c>
      <c r="AB30" s="36">
        <v>1.9053398671709167E-3</v>
      </c>
      <c r="AC30" s="36">
        <v>2.5280981836573735E-3</v>
      </c>
      <c r="AD30" s="36">
        <v>3.3491197756995504E-3</v>
      </c>
      <c r="AE30" s="36">
        <v>4.3703778357879466E-3</v>
      </c>
      <c r="AF30" s="36">
        <v>5.2488451107926045E-3</v>
      </c>
      <c r="AG30" s="36">
        <v>5.8741385974660021E-3</v>
      </c>
      <c r="AH30" s="36">
        <v>7.3107585665049346E-3</v>
      </c>
      <c r="AI30" s="36">
        <v>1.1954199396382675E-2</v>
      </c>
      <c r="AJ30" s="36">
        <v>2.122977940925486E-2</v>
      </c>
      <c r="AK30" s="36">
        <v>2.5753754605365008E-2</v>
      </c>
      <c r="AL30" s="36">
        <v>2.7116255939697981E-2</v>
      </c>
      <c r="AM30" s="36">
        <v>4.8853409869003116E-3</v>
      </c>
      <c r="AN30" s="36">
        <v>5.3950731185536688E-3</v>
      </c>
      <c r="AO30" s="36">
        <v>4.8874658564139134E-3</v>
      </c>
      <c r="AP30" s="36">
        <v>5.649579890991724E-3</v>
      </c>
      <c r="AQ30" s="36">
        <v>5.9814237902924821E-3</v>
      </c>
      <c r="AR30" s="36">
        <v>5.8280847390005655E-3</v>
      </c>
      <c r="AS30" s="36">
        <v>7.1693643975064619E-3</v>
      </c>
      <c r="AT30" s="36">
        <v>8.6466782299773302E-3</v>
      </c>
      <c r="AU30" s="36">
        <v>9.4545378871485428E-3</v>
      </c>
      <c r="AV30" s="36">
        <v>1.13475604041065E-2</v>
      </c>
      <c r="AW30" s="36">
        <v>1.7258879497836551E-2</v>
      </c>
      <c r="AX30" s="36">
        <v>2.7900026608553039E-2</v>
      </c>
      <c r="AY30" s="36">
        <v>3.2853237955487759E-2</v>
      </c>
      <c r="AZ30" s="36">
        <v>3.4614210598126256E-2</v>
      </c>
      <c r="BA30" s="36">
        <v>8.2107249817768406E-4</v>
      </c>
      <c r="BB30" s="36">
        <v>1.5768414367691049E-3</v>
      </c>
      <c r="BC30" s="36">
        <v>1.7814439741625737E-3</v>
      </c>
      <c r="BD30" s="36">
        <v>2.4858009585663142E-3</v>
      </c>
      <c r="BE30" s="36">
        <v>3.0059541823105884E-3</v>
      </c>
      <c r="BF30" s="36">
        <v>3.3326103768899903E-3</v>
      </c>
      <c r="BG30" s="36">
        <v>4.9318087512703291E-3</v>
      </c>
      <c r="BH30" s="36">
        <v>6.4011227724198941E-3</v>
      </c>
      <c r="BI30" s="36">
        <v>5.3947410679110446E-3</v>
      </c>
      <c r="BJ30" s="36">
        <v>6.90672079078887E-3</v>
      </c>
      <c r="BK30" s="36">
        <v>1.32923370210348E-2</v>
      </c>
      <c r="BL30" s="36">
        <v>2.9647821631219571E-2</v>
      </c>
      <c r="BM30" s="36">
        <v>3.5462943423363147E-2</v>
      </c>
      <c r="BN30" s="36">
        <v>3.7951172584609137E-2</v>
      </c>
    </row>
    <row r="31" spans="1:66">
      <c r="A31" s="36">
        <v>0.98120225653337401</v>
      </c>
      <c r="B31" s="36">
        <v>1.3607486673053155</v>
      </c>
      <c r="C31" s="36">
        <v>1.635894914456995</v>
      </c>
      <c r="D31" s="36">
        <v>0.32494770679437723</v>
      </c>
      <c r="E31" s="36">
        <v>2.8707145957376037</v>
      </c>
      <c r="F31" s="36">
        <v>10.690546908088617</v>
      </c>
      <c r="G31" s="36">
        <v>221.54590711650158</v>
      </c>
      <c r="H31" s="36">
        <v>15118.763577478201</v>
      </c>
      <c r="I31" s="36">
        <v>1679.2844859579684</v>
      </c>
      <c r="J31" s="36">
        <v>1.2635084880098806</v>
      </c>
      <c r="K31" s="36">
        <v>1.0887125921400207E-2</v>
      </c>
      <c r="L31" s="36">
        <v>1.0920589741078086E-2</v>
      </c>
      <c r="M31" s="36">
        <v>1.0469434028683014E-2</v>
      </c>
      <c r="N31" s="36">
        <v>1.1771807253824101E-2</v>
      </c>
      <c r="O31" s="36">
        <v>1.2621140653281909E-2</v>
      </c>
      <c r="P31" s="36">
        <v>1.4476206580278461E-2</v>
      </c>
      <c r="Q31" s="36">
        <v>1.4087074362919524E-2</v>
      </c>
      <c r="R31" s="36">
        <v>1.5802831281087507E-2</v>
      </c>
      <c r="S31" s="36">
        <v>1.6236527571979679E-2</v>
      </c>
      <c r="T31" s="36">
        <v>2.0239493228009713E-2</v>
      </c>
      <c r="U31" s="36">
        <v>2.3288071660436904E-2</v>
      </c>
      <c r="V31" s="36">
        <v>3.1981895027733659E-2</v>
      </c>
      <c r="W31" s="36">
        <v>3.7291208014942123E-2</v>
      </c>
      <c r="X31" s="36">
        <v>3.8795439625528207E-2</v>
      </c>
      <c r="Y31" s="36">
        <v>1.048620631701814E-3</v>
      </c>
      <c r="Z31" s="36">
        <v>1.3908723094926351E-3</v>
      </c>
      <c r="AA31" s="36">
        <v>1.2786962422938273E-3</v>
      </c>
      <c r="AB31" s="36">
        <v>1.8983352223127074E-3</v>
      </c>
      <c r="AC31" s="36">
        <v>2.5402056778412283E-3</v>
      </c>
      <c r="AD31" s="36">
        <v>3.3383533414765914E-3</v>
      </c>
      <c r="AE31" s="36">
        <v>4.3724492081564101E-3</v>
      </c>
      <c r="AF31" s="36">
        <v>5.2260847998052444E-3</v>
      </c>
      <c r="AG31" s="36">
        <v>5.9973798598552865E-3</v>
      </c>
      <c r="AH31" s="36">
        <v>7.4185296254142396E-3</v>
      </c>
      <c r="AI31" s="36">
        <v>1.198235540025103E-2</v>
      </c>
      <c r="AJ31" s="36">
        <v>2.1068087610846442E-2</v>
      </c>
      <c r="AK31" s="36">
        <v>2.5587084632089672E-2</v>
      </c>
      <c r="AL31" s="36">
        <v>2.6897219912762924E-2</v>
      </c>
      <c r="AM31" s="36">
        <v>4.7679820845333556E-3</v>
      </c>
      <c r="AN31" s="36">
        <v>5.4961843484637981E-3</v>
      </c>
      <c r="AO31" s="36">
        <v>4.9066622249487298E-3</v>
      </c>
      <c r="AP31" s="36">
        <v>5.6562826752164647E-3</v>
      </c>
      <c r="AQ31" s="36">
        <v>5.9978263824915137E-3</v>
      </c>
      <c r="AR31" s="36">
        <v>5.8262091454357691E-3</v>
      </c>
      <c r="AS31" s="36">
        <v>7.1431007144134202E-3</v>
      </c>
      <c r="AT31" s="36">
        <v>8.5963033805606763E-3</v>
      </c>
      <c r="AU31" s="36">
        <v>9.3459476062585766E-3</v>
      </c>
      <c r="AV31" s="36">
        <v>1.1209248459146122E-2</v>
      </c>
      <c r="AW31" s="36">
        <v>1.7111302257054796E-2</v>
      </c>
      <c r="AX31" s="36">
        <v>2.7674573584381974E-2</v>
      </c>
      <c r="AY31" s="36">
        <v>3.2721447177112978E-2</v>
      </c>
      <c r="AZ31" s="36">
        <v>3.457028623480795E-2</v>
      </c>
      <c r="BA31" s="36">
        <v>1.3710766409982102E-3</v>
      </c>
      <c r="BB31" s="36">
        <v>1.8818458277937771E-3</v>
      </c>
      <c r="BC31" s="36">
        <v>1.867213626770533E-3</v>
      </c>
      <c r="BD31" s="36">
        <v>2.5092585169417024E-3</v>
      </c>
      <c r="BE31" s="36">
        <v>3.0118177627118008E-3</v>
      </c>
      <c r="BF31" s="36">
        <v>3.3237217732277427E-3</v>
      </c>
      <c r="BG31" s="36">
        <v>4.9136568518468662E-3</v>
      </c>
      <c r="BH31" s="36">
        <v>6.3762682635570712E-3</v>
      </c>
      <c r="BI31" s="36">
        <v>5.4530833028546832E-3</v>
      </c>
      <c r="BJ31" s="36">
        <v>6.94815195428159E-3</v>
      </c>
      <c r="BK31" s="36">
        <v>1.3169266669715017E-2</v>
      </c>
      <c r="BL31" s="36">
        <v>2.9312912835700259E-2</v>
      </c>
      <c r="BM31" s="36">
        <v>3.5197862369767532E-2</v>
      </c>
      <c r="BN31" s="36">
        <v>3.7632819773362615E-2</v>
      </c>
    </row>
    <row r="32" spans="1:66">
      <c r="A32" s="36">
        <v>0.96614944215559795</v>
      </c>
      <c r="B32" s="36">
        <v>1.3481592838275915</v>
      </c>
      <c r="C32" s="36">
        <v>1.610238999914309</v>
      </c>
      <c r="D32" s="36">
        <v>0.31826433099440676</v>
      </c>
      <c r="E32" s="36">
        <v>2.8017208219002501</v>
      </c>
      <c r="F32" s="36">
        <v>10.95700032360083</v>
      </c>
      <c r="G32" s="36">
        <v>230.65243850445884</v>
      </c>
      <c r="H32" s="36">
        <v>15118.767996922319</v>
      </c>
      <c r="I32" s="36">
        <v>1679.2873128694628</v>
      </c>
      <c r="J32" s="36">
        <v>1.224016517741328</v>
      </c>
      <c r="K32" s="36">
        <v>1.097827430247496E-2</v>
      </c>
      <c r="L32" s="36">
        <v>1.1054022748854062E-2</v>
      </c>
      <c r="M32" s="36">
        <v>1.0586847931622101E-2</v>
      </c>
      <c r="N32" s="36">
        <v>1.2010821349384793E-2</v>
      </c>
      <c r="O32" s="36">
        <v>1.2998788017200719E-2</v>
      </c>
      <c r="P32" s="36">
        <v>1.4666007334140552E-2</v>
      </c>
      <c r="Q32" s="36">
        <v>1.4209854977953608E-2</v>
      </c>
      <c r="R32" s="36">
        <v>1.4922713524917355E-2</v>
      </c>
      <c r="S32" s="36">
        <v>1.5838092050707662E-2</v>
      </c>
      <c r="T32" s="36">
        <v>1.9682338897890218E-2</v>
      </c>
      <c r="U32" s="36">
        <v>2.2576129509176836E-2</v>
      </c>
      <c r="V32" s="36">
        <v>3.1542698262236817E-2</v>
      </c>
      <c r="W32" s="36">
        <v>3.6876989114307056E-2</v>
      </c>
      <c r="X32" s="36">
        <v>3.8366790860509946E-2</v>
      </c>
      <c r="Y32" s="36">
        <v>1.3219140948696471E-3</v>
      </c>
      <c r="Z32" s="36">
        <v>1.6252767946935691E-3</v>
      </c>
      <c r="AA32" s="36">
        <v>1.3198486712436848E-3</v>
      </c>
      <c r="AB32" s="36">
        <v>1.9465273337015655E-3</v>
      </c>
      <c r="AC32" s="36">
        <v>2.5257738517227963E-3</v>
      </c>
      <c r="AD32" s="36">
        <v>3.3278966667906504E-3</v>
      </c>
      <c r="AE32" s="36">
        <v>4.3561192533662207E-3</v>
      </c>
      <c r="AF32" s="36">
        <v>5.2164154838626724E-3</v>
      </c>
      <c r="AG32" s="36">
        <v>5.8257363937457415E-3</v>
      </c>
      <c r="AH32" s="36">
        <v>7.1692649357485124E-3</v>
      </c>
      <c r="AI32" s="36">
        <v>1.1687293735126532E-2</v>
      </c>
      <c r="AJ32" s="36">
        <v>2.0971967298581456E-2</v>
      </c>
      <c r="AK32" s="36">
        <v>2.5525833797479754E-2</v>
      </c>
      <c r="AL32" s="36">
        <v>2.6831607846183072E-2</v>
      </c>
      <c r="AM32" s="36">
        <v>4.7679675413205471E-3</v>
      </c>
      <c r="AN32" s="36">
        <v>5.2589486412859855E-3</v>
      </c>
      <c r="AO32" s="36">
        <v>4.8554287978103874E-3</v>
      </c>
      <c r="AP32" s="36">
        <v>5.6317898114820394E-3</v>
      </c>
      <c r="AQ32" s="36">
        <v>5.9728313799672752E-3</v>
      </c>
      <c r="AR32" s="36">
        <v>5.7943237319378468E-3</v>
      </c>
      <c r="AS32" s="36">
        <v>7.0894010201987224E-3</v>
      </c>
      <c r="AT32" s="36">
        <v>8.5216102030919727E-3</v>
      </c>
      <c r="AU32" s="36">
        <v>9.00527095543085E-3</v>
      </c>
      <c r="AV32" s="36">
        <v>1.0814143780154972E-2</v>
      </c>
      <c r="AW32" s="36">
        <v>1.6571808578412586E-2</v>
      </c>
      <c r="AX32" s="36">
        <v>2.7372887136472394E-2</v>
      </c>
      <c r="AY32" s="36">
        <v>3.2506234916883474E-2</v>
      </c>
      <c r="AZ32" s="36">
        <v>3.4362430842992828E-2</v>
      </c>
      <c r="BA32" s="36">
        <v>8.3934442114639554E-4</v>
      </c>
      <c r="BB32" s="36">
        <v>1.6794961885848391E-3</v>
      </c>
      <c r="BC32" s="36">
        <v>1.8242298591562946E-3</v>
      </c>
      <c r="BD32" s="36">
        <v>2.5025109405223257E-3</v>
      </c>
      <c r="BE32" s="36">
        <v>2.9908399477068998E-3</v>
      </c>
      <c r="BF32" s="36">
        <v>3.2904369640388053E-3</v>
      </c>
      <c r="BG32" s="36">
        <v>4.8568422847582084E-3</v>
      </c>
      <c r="BH32" s="36">
        <v>6.2994669429883741E-3</v>
      </c>
      <c r="BI32" s="36">
        <v>5.1026321333732076E-3</v>
      </c>
      <c r="BJ32" s="36">
        <v>6.3934474661138368E-3</v>
      </c>
      <c r="BK32" s="36">
        <v>1.2383877211606612E-2</v>
      </c>
      <c r="BL32" s="36">
        <v>2.8574642296431613E-2</v>
      </c>
      <c r="BM32" s="36">
        <v>3.4603404121571202E-2</v>
      </c>
      <c r="BN32" s="36">
        <v>3.7250522247843823E-2</v>
      </c>
    </row>
    <row r="33" spans="1:66">
      <c r="A33" s="36">
        <v>0.96898444209819212</v>
      </c>
      <c r="B33" s="36">
        <v>1.3472459225589153</v>
      </c>
      <c r="C33" s="36">
        <v>1.6098769441935912</v>
      </c>
      <c r="D33" s="36">
        <v>0.3191738641080214</v>
      </c>
      <c r="E33" s="36">
        <v>2.7721505306282848</v>
      </c>
      <c r="F33" s="36">
        <v>10.7048474631977</v>
      </c>
      <c r="G33" s="36">
        <v>223.02013455822072</v>
      </c>
      <c r="H33" s="36">
        <v>15118.761923583823</v>
      </c>
      <c r="I33" s="36">
        <v>1679.2794123316223</v>
      </c>
      <c r="J33" s="36">
        <v>1.220006274937157</v>
      </c>
      <c r="K33" s="36">
        <v>1.1081305497207327E-2</v>
      </c>
      <c r="L33" s="36">
        <v>1.0895003527807708E-2</v>
      </c>
      <c r="M33" s="36">
        <v>1.0588422994984959E-2</v>
      </c>
      <c r="N33" s="36">
        <v>1.1928555899498967E-2</v>
      </c>
      <c r="O33" s="36">
        <v>1.2833335525521981E-2</v>
      </c>
      <c r="P33" s="36">
        <v>1.4585513004843075E-2</v>
      </c>
      <c r="Q33" s="36">
        <v>1.4277886063285316E-2</v>
      </c>
      <c r="R33" s="36">
        <v>1.4957836209807139E-2</v>
      </c>
      <c r="S33" s="36">
        <v>1.5818018750614119E-2</v>
      </c>
      <c r="T33" s="36">
        <v>1.9549986606659995E-2</v>
      </c>
      <c r="U33" s="36">
        <v>2.2273425587768993E-2</v>
      </c>
      <c r="V33" s="36">
        <v>3.1102154103251737E-2</v>
      </c>
      <c r="W33" s="36">
        <v>3.6274720048633233E-2</v>
      </c>
      <c r="X33" s="36">
        <v>3.7786278129298294E-2</v>
      </c>
      <c r="Y33" s="36">
        <v>1.5215687454110517E-3</v>
      </c>
      <c r="Z33" s="36">
        <v>1.3187983010350256E-3</v>
      </c>
      <c r="AA33" s="36">
        <v>1.2716861048288307E-3</v>
      </c>
      <c r="AB33" s="36">
        <v>1.8828604671682317E-3</v>
      </c>
      <c r="AC33" s="36">
        <v>2.4953532530862608E-3</v>
      </c>
      <c r="AD33" s="36">
        <v>3.301813870746921E-3</v>
      </c>
      <c r="AE33" s="36">
        <v>4.3224106434014264E-3</v>
      </c>
      <c r="AF33" s="36">
        <v>5.1966131885545983E-3</v>
      </c>
      <c r="AG33" s="36">
        <v>5.7872843812561111E-3</v>
      </c>
      <c r="AH33" s="36">
        <v>7.1417985011764541E-3</v>
      </c>
      <c r="AI33" s="36">
        <v>1.1653153376807506E-2</v>
      </c>
      <c r="AJ33" s="36">
        <v>2.0863915312436088E-2</v>
      </c>
      <c r="AK33" s="36">
        <v>2.5496434760571174E-2</v>
      </c>
      <c r="AL33" s="36">
        <v>2.6808952554883365E-2</v>
      </c>
      <c r="AM33" s="36">
        <v>4.828746538016993E-3</v>
      </c>
      <c r="AN33" s="36">
        <v>5.2850670649811811E-3</v>
      </c>
      <c r="AO33" s="36">
        <v>4.8601555930565194E-3</v>
      </c>
      <c r="AP33" s="36">
        <v>5.630868371645806E-3</v>
      </c>
      <c r="AQ33" s="36">
        <v>5.9725665659912577E-3</v>
      </c>
      <c r="AR33" s="36">
        <v>5.7974968541976684E-3</v>
      </c>
      <c r="AS33" s="36">
        <v>7.0987249919487539E-3</v>
      </c>
      <c r="AT33" s="36">
        <v>8.5418674612681347E-3</v>
      </c>
      <c r="AU33" s="36">
        <v>9.0476895631093728E-3</v>
      </c>
      <c r="AV33" s="36">
        <v>1.0726539322126432E-2</v>
      </c>
      <c r="AW33" s="36">
        <v>1.6423759425160958E-2</v>
      </c>
      <c r="AX33" s="36">
        <v>2.7155099973816862E-2</v>
      </c>
      <c r="AY33" s="36">
        <v>3.2267678313663208E-2</v>
      </c>
      <c r="AZ33" s="36">
        <v>3.4236915795813186E-2</v>
      </c>
      <c r="BA33" s="36">
        <v>7.1701917107139441E-4</v>
      </c>
      <c r="BB33" s="36">
        <v>1.5214727216627214E-3</v>
      </c>
      <c r="BC33" s="36">
        <v>1.7618224391886957E-3</v>
      </c>
      <c r="BD33" s="36">
        <v>2.4528235848463426E-3</v>
      </c>
      <c r="BE33" s="36">
        <v>2.9599922156191977E-3</v>
      </c>
      <c r="BF33" s="36">
        <v>3.2758655063784719E-3</v>
      </c>
      <c r="BG33" s="36">
        <v>4.8681493762835299E-3</v>
      </c>
      <c r="BH33" s="36">
        <v>6.3397989982842016E-3</v>
      </c>
      <c r="BI33" s="36">
        <v>5.0920027541617391E-3</v>
      </c>
      <c r="BJ33" s="36">
        <v>6.4521912315580006E-3</v>
      </c>
      <c r="BK33" s="36">
        <v>1.2437572036781988E-2</v>
      </c>
      <c r="BL33" s="36">
        <v>2.8506038171395558E-2</v>
      </c>
      <c r="BM33" s="36">
        <v>3.4554243742632419E-2</v>
      </c>
      <c r="BN33" s="36">
        <v>3.710561512658566E-2</v>
      </c>
    </row>
    <row r="34" spans="1:66">
      <c r="A34" s="36">
        <v>0.97571035379225668</v>
      </c>
      <c r="B34" s="36">
        <v>1.3561191476971945</v>
      </c>
      <c r="C34" s="36">
        <v>1.6222754316115955</v>
      </c>
      <c r="D34" s="36">
        <v>0.3235078311994472</v>
      </c>
      <c r="E34" s="36">
        <v>2.8728294345816758</v>
      </c>
      <c r="F34" s="36">
        <v>10.699368653020322</v>
      </c>
      <c r="G34" s="36">
        <v>219.61463795507686</v>
      </c>
      <c r="H34" s="36">
        <v>15118.759910830673</v>
      </c>
      <c r="I34" s="36">
        <v>1679.281857157278</v>
      </c>
      <c r="J34" s="36">
        <v>1.246976089158135</v>
      </c>
      <c r="K34" s="36">
        <v>1.0605438102949033E-2</v>
      </c>
      <c r="L34" s="36">
        <v>1.0325248528444476E-2</v>
      </c>
      <c r="M34" s="36">
        <v>1.0307913749886674E-2</v>
      </c>
      <c r="N34" s="36">
        <v>1.1774954665751743E-2</v>
      </c>
      <c r="O34" s="36">
        <v>1.2637178403375145E-2</v>
      </c>
      <c r="P34" s="36">
        <v>1.4343178092794862E-2</v>
      </c>
      <c r="Q34" s="36">
        <v>1.4081843594256748E-2</v>
      </c>
      <c r="R34" s="36">
        <v>1.5592204518292886E-2</v>
      </c>
      <c r="S34" s="36">
        <v>1.6269300063981626E-2</v>
      </c>
      <c r="T34" s="36">
        <v>2.0285797471740658E-2</v>
      </c>
      <c r="U34" s="36">
        <v>2.3311381627230034E-2</v>
      </c>
      <c r="V34" s="36">
        <v>3.2116874217733765E-2</v>
      </c>
      <c r="W34" s="36">
        <v>3.7336140394291506E-2</v>
      </c>
      <c r="X34" s="36">
        <v>3.8788892271187925E-2</v>
      </c>
      <c r="Y34" s="36">
        <v>1.8866758153143037E-3</v>
      </c>
      <c r="Z34" s="36">
        <v>1.5388199828778077E-3</v>
      </c>
      <c r="AA34" s="36">
        <v>1.3010418181701835E-3</v>
      </c>
      <c r="AB34" s="36">
        <v>1.9447521556956778E-3</v>
      </c>
      <c r="AC34" s="36">
        <v>2.5820934709809016E-3</v>
      </c>
      <c r="AD34" s="36">
        <v>3.3639774369399653E-3</v>
      </c>
      <c r="AE34" s="36">
        <v>4.397559523884903E-3</v>
      </c>
      <c r="AF34" s="36">
        <v>5.2519761307075075E-3</v>
      </c>
      <c r="AG34" s="36">
        <v>6.3139551717328844E-3</v>
      </c>
      <c r="AH34" s="36">
        <v>7.7660445307417107E-3</v>
      </c>
      <c r="AI34" s="36">
        <v>1.2514731372399713E-2</v>
      </c>
      <c r="AJ34" s="36">
        <v>2.1667702584779413E-2</v>
      </c>
      <c r="AK34" s="36">
        <v>2.6092978317698745E-2</v>
      </c>
      <c r="AL34" s="36">
        <v>2.7305111028918548E-2</v>
      </c>
      <c r="AM34" s="36">
        <v>4.7566886013913692E-3</v>
      </c>
      <c r="AN34" s="36">
        <v>5.4637057114838858E-3</v>
      </c>
      <c r="AO34" s="36">
        <v>4.8952964596136661E-3</v>
      </c>
      <c r="AP34" s="36">
        <v>5.6575073738224487E-3</v>
      </c>
      <c r="AQ34" s="36">
        <v>6.0096954818650442E-3</v>
      </c>
      <c r="AR34" s="36">
        <v>5.8268594152508261E-3</v>
      </c>
      <c r="AS34" s="36">
        <v>7.1475407249932217E-3</v>
      </c>
      <c r="AT34" s="36">
        <v>8.6011562537949109E-3</v>
      </c>
      <c r="AU34" s="36">
        <v>9.5004408929246203E-3</v>
      </c>
      <c r="AV34" s="36">
        <v>1.1464704888533246E-2</v>
      </c>
      <c r="AW34" s="36">
        <v>1.7485516484994836E-2</v>
      </c>
      <c r="AX34" s="36">
        <v>2.8111450068817739E-2</v>
      </c>
      <c r="AY34" s="36">
        <v>3.3148395209926046E-2</v>
      </c>
      <c r="AZ34" s="36">
        <v>3.5010748803607501E-2</v>
      </c>
      <c r="BA34" s="36">
        <v>7.9740091580181164E-4</v>
      </c>
      <c r="BB34" s="36">
        <v>1.9143069595004339E-3</v>
      </c>
      <c r="BC34" s="36">
        <v>1.8742550773289989E-3</v>
      </c>
      <c r="BD34" s="36">
        <v>2.5486731853234627E-3</v>
      </c>
      <c r="BE34" s="36">
        <v>3.0512136092153306E-3</v>
      </c>
      <c r="BF34" s="36">
        <v>3.3342956414945573E-3</v>
      </c>
      <c r="BG34" s="36">
        <v>4.948784407593697E-3</v>
      </c>
      <c r="BH34" s="36">
        <v>6.4374555783597506E-3</v>
      </c>
      <c r="BI34" s="36">
        <v>5.7416366986607426E-3</v>
      </c>
      <c r="BJ34" s="36">
        <v>7.2754003843528677E-3</v>
      </c>
      <c r="BK34" s="36">
        <v>1.3590856259427972E-2</v>
      </c>
      <c r="BL34" s="36">
        <v>2.9610469131562948E-2</v>
      </c>
      <c r="BM34" s="36">
        <v>3.5319000973050546E-2</v>
      </c>
      <c r="BN34" s="36">
        <v>3.7642221027661689E-2</v>
      </c>
    </row>
    <row r="35" spans="1:66">
      <c r="A35" s="36">
        <v>0.97397363489213418</v>
      </c>
      <c r="B35" s="36">
        <v>1.3545194893177703</v>
      </c>
      <c r="C35" s="36">
        <v>1.6265888302056568</v>
      </c>
      <c r="D35" s="36">
        <v>0.32209172574563122</v>
      </c>
      <c r="E35" s="36">
        <v>2.8299102273431509</v>
      </c>
      <c r="F35" s="36">
        <v>10.856858935825938</v>
      </c>
      <c r="G35" s="36">
        <v>227.89795591606565</v>
      </c>
      <c r="H35" s="36">
        <v>15118.769312267263</v>
      </c>
      <c r="I35" s="36">
        <v>1679.2863856965075</v>
      </c>
      <c r="J35" s="36">
        <v>1.2659804488226893</v>
      </c>
      <c r="K35" s="36">
        <v>1.1484565144179438E-2</v>
      </c>
      <c r="L35" s="36">
        <v>1.1219316868841114E-2</v>
      </c>
      <c r="M35" s="36">
        <v>1.0692708871593194E-2</v>
      </c>
      <c r="N35" s="36">
        <v>1.2090834985764227E-2</v>
      </c>
      <c r="O35" s="36">
        <v>1.2933395035405885E-2</v>
      </c>
      <c r="P35" s="36">
        <v>1.4534364139844625E-2</v>
      </c>
      <c r="Q35" s="36">
        <v>1.4227967897043449E-2</v>
      </c>
      <c r="R35" s="36">
        <v>1.4395501007068623E-2</v>
      </c>
      <c r="S35" s="36">
        <v>1.6047761373316167E-2</v>
      </c>
      <c r="T35" s="36">
        <v>2.004101636066485E-2</v>
      </c>
      <c r="U35" s="36">
        <v>2.3000255455390389E-2</v>
      </c>
      <c r="V35" s="36">
        <v>3.1733388256922568E-2</v>
      </c>
      <c r="W35" s="36">
        <v>3.6805780256194888E-2</v>
      </c>
      <c r="X35" s="36">
        <v>3.821457895668285E-2</v>
      </c>
      <c r="Y35" s="36">
        <v>2.4923373147970199E-3</v>
      </c>
      <c r="Z35" s="36">
        <v>1.4750032847468881E-3</v>
      </c>
      <c r="AA35" s="36">
        <v>1.2891011509499151E-3</v>
      </c>
      <c r="AB35" s="36">
        <v>1.8974031454165815E-3</v>
      </c>
      <c r="AC35" s="36">
        <v>2.5033189669473508E-3</v>
      </c>
      <c r="AD35" s="36">
        <v>3.3282096326334386E-3</v>
      </c>
      <c r="AE35" s="36">
        <v>4.3472488943884198E-3</v>
      </c>
      <c r="AF35" s="36">
        <v>5.226521934360324E-3</v>
      </c>
      <c r="AG35" s="36">
        <v>6.0549141106057414E-3</v>
      </c>
      <c r="AH35" s="36">
        <v>7.5132613676031235E-3</v>
      </c>
      <c r="AI35" s="36">
        <v>1.2228865078314468E-2</v>
      </c>
      <c r="AJ35" s="36">
        <v>2.1483668409363527E-2</v>
      </c>
      <c r="AK35" s="36">
        <v>2.5965720436361125E-2</v>
      </c>
      <c r="AL35" s="36">
        <v>2.7153412510491175E-2</v>
      </c>
      <c r="AM35" s="36">
        <v>4.8493540524307118E-3</v>
      </c>
      <c r="AN35" s="36">
        <v>5.2021610796045819E-3</v>
      </c>
      <c r="AO35" s="36">
        <v>4.841047769763949E-3</v>
      </c>
      <c r="AP35" s="36">
        <v>5.621379951255198E-3</v>
      </c>
      <c r="AQ35" s="36">
        <v>5.9709777431871912E-3</v>
      </c>
      <c r="AR35" s="36">
        <v>5.804342599551403E-3</v>
      </c>
      <c r="AS35" s="36">
        <v>7.1167864907957824E-3</v>
      </c>
      <c r="AT35" s="36">
        <v>8.5683282533341176E-3</v>
      </c>
      <c r="AU35" s="36">
        <v>9.5539216857183553E-3</v>
      </c>
      <c r="AV35" s="36">
        <v>1.1431872703893732E-2</v>
      </c>
      <c r="AW35" s="36">
        <v>1.7370618030786926E-2</v>
      </c>
      <c r="AX35" s="36">
        <v>2.7910192187721967E-2</v>
      </c>
      <c r="AY35" s="36">
        <v>3.2880275730400275E-2</v>
      </c>
      <c r="AZ35" s="36">
        <v>3.4708168999059145E-2</v>
      </c>
      <c r="BA35" s="36">
        <v>7.563692606592236E-4</v>
      </c>
      <c r="BB35" s="36">
        <v>1.636597172526041E-3</v>
      </c>
      <c r="BC35" s="36">
        <v>1.794650125509492E-3</v>
      </c>
      <c r="BD35" s="36">
        <v>2.4690958115118553E-3</v>
      </c>
      <c r="BE35" s="36">
        <v>2.9891202786729806E-3</v>
      </c>
      <c r="BF35" s="36">
        <v>3.3079618240782756E-3</v>
      </c>
      <c r="BG35" s="36">
        <v>4.9055557155319156E-3</v>
      </c>
      <c r="BH35" s="36">
        <v>6.3781438582044105E-3</v>
      </c>
      <c r="BI35" s="36">
        <v>5.4889385139217936E-3</v>
      </c>
      <c r="BJ35" s="36">
        <v>6.9986237268466964E-3</v>
      </c>
      <c r="BK35" s="36">
        <v>1.3252933344513277E-2</v>
      </c>
      <c r="BL35" s="36">
        <v>2.9199366424514393E-2</v>
      </c>
      <c r="BM35" s="36">
        <v>3.4959374906740358E-2</v>
      </c>
      <c r="BN35" s="36">
        <v>3.7294652164313762E-2</v>
      </c>
    </row>
    <row r="36" spans="1:66">
      <c r="A36" s="36">
        <v>0.96652948732104671</v>
      </c>
      <c r="B36" s="36">
        <v>1.3467676567602003</v>
      </c>
      <c r="C36" s="36">
        <v>1.6122686208747383</v>
      </c>
      <c r="D36" s="36">
        <v>0.31982077282549909</v>
      </c>
      <c r="E36" s="36">
        <v>2.8200821792275104</v>
      </c>
      <c r="F36" s="36">
        <v>10.646720706193209</v>
      </c>
      <c r="G36" s="36">
        <v>220.75836843633246</v>
      </c>
      <c r="H36" s="36">
        <v>15118.756022738689</v>
      </c>
      <c r="I36" s="36">
        <v>1679.2785435257845</v>
      </c>
      <c r="J36" s="36">
        <v>1.2683050624426717</v>
      </c>
      <c r="K36" s="36">
        <v>1.1299527357557824E-2</v>
      </c>
      <c r="L36" s="36">
        <v>1.0734001310324752E-2</v>
      </c>
      <c r="M36" s="36">
        <v>1.0362345393234702E-2</v>
      </c>
      <c r="N36" s="36">
        <v>1.1789016335416614E-2</v>
      </c>
      <c r="O36" s="36">
        <v>1.2669416565671603E-2</v>
      </c>
      <c r="P36" s="36">
        <v>1.4412723764366924E-2</v>
      </c>
      <c r="Q36" s="36">
        <v>1.4104844624003373E-2</v>
      </c>
      <c r="R36" s="36">
        <v>1.5907140018530209E-2</v>
      </c>
      <c r="S36" s="36">
        <v>1.5839756499620682E-2</v>
      </c>
      <c r="T36" s="36">
        <v>1.9708211459969264E-2</v>
      </c>
      <c r="U36" s="36">
        <v>2.2648327899326005E-2</v>
      </c>
      <c r="V36" s="36">
        <v>3.1390233736251327E-2</v>
      </c>
      <c r="W36" s="36">
        <v>3.6564698489804495E-2</v>
      </c>
      <c r="X36" s="36">
        <v>3.8109668179618479E-2</v>
      </c>
      <c r="Y36" s="36">
        <v>2.7527569110327604E-3</v>
      </c>
      <c r="Z36" s="36">
        <v>1.5228094046249106E-3</v>
      </c>
      <c r="AA36" s="36">
        <v>1.3239104305808299E-3</v>
      </c>
      <c r="AB36" s="36">
        <v>1.9385242517215241E-3</v>
      </c>
      <c r="AC36" s="36">
        <v>2.5690912072518749E-3</v>
      </c>
      <c r="AD36" s="36">
        <v>3.3524540168716824E-3</v>
      </c>
      <c r="AE36" s="36">
        <v>4.3888633949318544E-3</v>
      </c>
      <c r="AF36" s="36">
        <v>5.2475041277442215E-3</v>
      </c>
      <c r="AG36" s="36">
        <v>6.0956220333759931E-3</v>
      </c>
      <c r="AH36" s="36">
        <v>7.4863885049927682E-3</v>
      </c>
      <c r="AI36" s="36">
        <v>1.212295460354056E-2</v>
      </c>
      <c r="AJ36" s="36">
        <v>2.1138520819862193E-2</v>
      </c>
      <c r="AK36" s="36">
        <v>2.5720879215815683E-2</v>
      </c>
      <c r="AL36" s="36">
        <v>2.6982700224411411E-2</v>
      </c>
      <c r="AM36" s="36">
        <v>4.7651532319332342E-3</v>
      </c>
      <c r="AN36" s="36">
        <v>5.3504299474005498E-3</v>
      </c>
      <c r="AO36" s="36">
        <v>4.8755079287892576E-3</v>
      </c>
      <c r="AP36" s="36">
        <v>5.6418375476338985E-3</v>
      </c>
      <c r="AQ36" s="36">
        <v>5.9902882570115074E-3</v>
      </c>
      <c r="AR36" s="36">
        <v>5.8111381465537132E-3</v>
      </c>
      <c r="AS36" s="36">
        <v>7.1201675797194349E-3</v>
      </c>
      <c r="AT36" s="36">
        <v>8.5661829222491697E-3</v>
      </c>
      <c r="AU36" s="36">
        <v>9.3317746640760191E-3</v>
      </c>
      <c r="AV36" s="36">
        <v>1.1127633314230735E-2</v>
      </c>
      <c r="AW36" s="36">
        <v>1.6974825087009697E-2</v>
      </c>
      <c r="AX36" s="36">
        <v>2.7531173015952454E-2</v>
      </c>
      <c r="AY36" s="36">
        <v>3.2578295716872659E-2</v>
      </c>
      <c r="AZ36" s="36">
        <v>3.4500656907295146E-2</v>
      </c>
      <c r="BA36" s="36">
        <v>9.9263434322398466E-4</v>
      </c>
      <c r="BB36" s="36">
        <v>1.7258334417136201E-3</v>
      </c>
      <c r="BC36" s="36">
        <v>1.838198980448755E-3</v>
      </c>
      <c r="BD36" s="36">
        <v>2.5121585006570206E-3</v>
      </c>
      <c r="BE36" s="36">
        <v>3.0211214289437502E-3</v>
      </c>
      <c r="BF36" s="36">
        <v>3.346202318284626E-3</v>
      </c>
      <c r="BG36" s="36">
        <v>4.9392395514103746E-3</v>
      </c>
      <c r="BH36" s="36">
        <v>6.4016850324139854E-3</v>
      </c>
      <c r="BI36" s="36">
        <v>5.3953078438968545E-3</v>
      </c>
      <c r="BJ36" s="36">
        <v>6.8662278223313679E-3</v>
      </c>
      <c r="BK36" s="36">
        <v>1.2984501463669461E-2</v>
      </c>
      <c r="BL36" s="36">
        <v>2.9002345935220709E-2</v>
      </c>
      <c r="BM36" s="36">
        <v>3.4820444036010742E-2</v>
      </c>
      <c r="BN36" s="36">
        <v>3.7237621362922933E-2</v>
      </c>
    </row>
    <row r="37" spans="1:66">
      <c r="A37" s="36">
        <v>0.97738799285576605</v>
      </c>
      <c r="B37" s="36">
        <v>1.3566818481821645</v>
      </c>
      <c r="C37" s="36">
        <v>1.6276452967566619</v>
      </c>
      <c r="D37" s="36">
        <v>0.3228543434361919</v>
      </c>
      <c r="E37" s="36">
        <v>2.8247032607664528</v>
      </c>
      <c r="F37" s="36">
        <v>10.881380242129548</v>
      </c>
      <c r="G37" s="36">
        <v>222.92460941260862</v>
      </c>
      <c r="H37" s="36">
        <v>15118.768671275158</v>
      </c>
      <c r="I37" s="36">
        <v>1679.2904803360586</v>
      </c>
      <c r="J37" s="36">
        <v>1.264495138102719</v>
      </c>
      <c r="K37" s="36">
        <v>1.1245972789051635E-2</v>
      </c>
      <c r="L37" s="36">
        <v>1.1224520180467627E-2</v>
      </c>
      <c r="M37" s="36">
        <v>1.080107636693972E-2</v>
      </c>
      <c r="N37" s="36">
        <v>1.2077122583574441E-2</v>
      </c>
      <c r="O37" s="36">
        <v>1.2911476532516656E-2</v>
      </c>
      <c r="P37" s="36">
        <v>1.4664585689071835E-2</v>
      </c>
      <c r="Q37" s="36">
        <v>1.4276486392607339E-2</v>
      </c>
      <c r="R37" s="36">
        <v>1.4706532646380522E-2</v>
      </c>
      <c r="S37" s="36">
        <v>1.6205488339060662E-2</v>
      </c>
      <c r="T37" s="36">
        <v>2.0272351054003577E-2</v>
      </c>
      <c r="U37" s="36">
        <v>2.3427918867666361E-2</v>
      </c>
      <c r="V37" s="36">
        <v>3.2323902979837865E-2</v>
      </c>
      <c r="W37" s="36">
        <v>3.7557984018635186E-2</v>
      </c>
      <c r="X37" s="36">
        <v>3.8928425006282248E-2</v>
      </c>
      <c r="Y37" s="36">
        <v>3.3378699639218419E-3</v>
      </c>
      <c r="Z37" s="36">
        <v>1.5886156778840269E-3</v>
      </c>
      <c r="AA37" s="36">
        <v>1.2940822528759201E-3</v>
      </c>
      <c r="AB37" s="36">
        <v>1.9167434561590858E-3</v>
      </c>
      <c r="AC37" s="36">
        <v>2.5277168719336461E-3</v>
      </c>
      <c r="AD37" s="36">
        <v>3.3395638411814607E-3</v>
      </c>
      <c r="AE37" s="36">
        <v>4.3861019439513536E-3</v>
      </c>
      <c r="AF37" s="36">
        <v>5.2442229924420684E-3</v>
      </c>
      <c r="AG37" s="36">
        <v>6.1462011636739099E-3</v>
      </c>
      <c r="AH37" s="36">
        <v>7.5874315543426512E-3</v>
      </c>
      <c r="AI37" s="36">
        <v>1.2298379980678863E-2</v>
      </c>
      <c r="AJ37" s="36">
        <v>2.1606759291735913E-2</v>
      </c>
      <c r="AK37" s="36">
        <v>2.6059920973832293E-2</v>
      </c>
      <c r="AL37" s="36">
        <v>2.7304802267906918E-2</v>
      </c>
      <c r="AM37" s="36">
        <v>4.6969469576128471E-3</v>
      </c>
      <c r="AN37" s="36">
        <v>5.401594079835809E-3</v>
      </c>
      <c r="AO37" s="36">
        <v>4.8829660825607229E-3</v>
      </c>
      <c r="AP37" s="36">
        <v>5.6452030809077168E-3</v>
      </c>
      <c r="AQ37" s="36">
        <v>5.9859801632210358E-3</v>
      </c>
      <c r="AR37" s="36">
        <v>5.8114185153622881E-3</v>
      </c>
      <c r="AS37" s="36">
        <v>7.1332065143428604E-3</v>
      </c>
      <c r="AT37" s="36">
        <v>8.6016570377690366E-3</v>
      </c>
      <c r="AU37" s="36">
        <v>9.5614910744820907E-3</v>
      </c>
      <c r="AV37" s="36">
        <v>1.1665692126416445E-2</v>
      </c>
      <c r="AW37" s="36">
        <v>1.7775350529600022E-2</v>
      </c>
      <c r="AX37" s="36">
        <v>2.8471706508611926E-2</v>
      </c>
      <c r="AY37" s="36">
        <v>3.3421423316777672E-2</v>
      </c>
      <c r="AZ37" s="36">
        <v>3.5117914326908854E-2</v>
      </c>
      <c r="BA37" s="36">
        <v>9.3332538085507538E-4</v>
      </c>
      <c r="BB37" s="36">
        <v>2.1718838692881075E-3</v>
      </c>
      <c r="BC37" s="36">
        <v>1.921038150443479E-3</v>
      </c>
      <c r="BD37" s="36">
        <v>2.542882540236888E-3</v>
      </c>
      <c r="BE37" s="36">
        <v>3.0512080540704397E-3</v>
      </c>
      <c r="BF37" s="36">
        <v>3.3157813321744571E-3</v>
      </c>
      <c r="BG37" s="36">
        <v>4.9196171046210577E-3</v>
      </c>
      <c r="BH37" s="36">
        <v>6.4025891112140798E-3</v>
      </c>
      <c r="BI37" s="36">
        <v>5.5067427564619983E-3</v>
      </c>
      <c r="BJ37" s="36">
        <v>7.0316326214637636E-3</v>
      </c>
      <c r="BK37" s="36">
        <v>1.3514103773868488E-2</v>
      </c>
      <c r="BL37" s="36">
        <v>2.9749774743401614E-2</v>
      </c>
      <c r="BM37" s="36">
        <v>3.5557732032095592E-2</v>
      </c>
      <c r="BN37" s="36">
        <v>3.7910040889822631E-2</v>
      </c>
    </row>
    <row r="38" spans="1:66">
      <c r="A38" s="36">
        <v>0.96952680697538618</v>
      </c>
      <c r="B38" s="36">
        <v>1.3527713372793577</v>
      </c>
      <c r="C38" s="36">
        <v>1.6142360826456097</v>
      </c>
      <c r="D38" s="36">
        <v>0.31984004100006702</v>
      </c>
      <c r="E38" s="36">
        <v>2.7617771314736093</v>
      </c>
      <c r="F38" s="36">
        <v>10.670741289887477</v>
      </c>
      <c r="G38" s="36">
        <v>223.05276926666957</v>
      </c>
      <c r="H38" s="36">
        <v>15118.760220675558</v>
      </c>
      <c r="I38" s="36">
        <v>1679.2788507657096</v>
      </c>
      <c r="J38" s="36">
        <v>1.2463348878923153</v>
      </c>
      <c r="K38" s="36">
        <v>1.1315664193643883E-2</v>
      </c>
      <c r="L38" s="36">
        <v>1.127746768361744E-2</v>
      </c>
      <c r="M38" s="36">
        <v>1.0792227743560206E-2</v>
      </c>
      <c r="N38" s="36">
        <v>1.2055322884255247E-2</v>
      </c>
      <c r="O38" s="36">
        <v>1.2863325225635717E-2</v>
      </c>
      <c r="P38" s="36">
        <v>1.4505409767576556E-2</v>
      </c>
      <c r="Q38" s="36">
        <v>1.4164477197643176E-2</v>
      </c>
      <c r="R38" s="36">
        <v>1.4462321505953942E-2</v>
      </c>
      <c r="S38" s="36">
        <v>1.5727010539111665E-2</v>
      </c>
      <c r="T38" s="36">
        <v>1.9513111963200238E-2</v>
      </c>
      <c r="U38" s="36">
        <v>2.2359477904719701E-2</v>
      </c>
      <c r="V38" s="36">
        <v>3.1093255682899369E-2</v>
      </c>
      <c r="W38" s="36">
        <v>3.6366327128886641E-2</v>
      </c>
      <c r="X38" s="36">
        <v>3.7841032715400319E-2</v>
      </c>
      <c r="Y38" s="36">
        <v>1.2641428454946684E-3</v>
      </c>
      <c r="Z38" s="36">
        <v>1.2556626679199637E-3</v>
      </c>
      <c r="AA38" s="36">
        <v>1.2474607160269501E-3</v>
      </c>
      <c r="AB38" s="36">
        <v>1.8616946039470914E-3</v>
      </c>
      <c r="AC38" s="36">
        <v>2.472153481031125E-3</v>
      </c>
      <c r="AD38" s="36">
        <v>3.2766061825861056E-3</v>
      </c>
      <c r="AE38" s="36">
        <v>4.3275468825560793E-3</v>
      </c>
      <c r="AF38" s="36">
        <v>5.198412860597715E-3</v>
      </c>
      <c r="AG38" s="36">
        <v>5.7079347827924103E-3</v>
      </c>
      <c r="AH38" s="36">
        <v>7.0604789620964939E-3</v>
      </c>
      <c r="AI38" s="36">
        <v>1.1645198077371416E-2</v>
      </c>
      <c r="AJ38" s="36">
        <v>2.0992416847682393E-2</v>
      </c>
      <c r="AK38" s="36">
        <v>2.5571654769912189E-2</v>
      </c>
      <c r="AL38" s="36">
        <v>2.6939691123193173E-2</v>
      </c>
      <c r="AM38" s="36">
        <v>4.7745705196025274E-3</v>
      </c>
      <c r="AN38" s="36">
        <v>5.3565934228327347E-3</v>
      </c>
      <c r="AO38" s="36">
        <v>4.8746633864607744E-3</v>
      </c>
      <c r="AP38" s="36">
        <v>5.6352252932895253E-3</v>
      </c>
      <c r="AQ38" s="36">
        <v>5.972135222998152E-3</v>
      </c>
      <c r="AR38" s="36">
        <v>5.7826609954194251E-3</v>
      </c>
      <c r="AS38" s="36">
        <v>7.0784103036301378E-3</v>
      </c>
      <c r="AT38" s="36">
        <v>8.5283176398656436E-3</v>
      </c>
      <c r="AU38" s="36">
        <v>9.0259466940800608E-3</v>
      </c>
      <c r="AV38" s="36">
        <v>1.0772994891940267E-2</v>
      </c>
      <c r="AW38" s="36">
        <v>1.6537783344203232E-2</v>
      </c>
      <c r="AX38" s="36">
        <v>2.7247965922086663E-2</v>
      </c>
      <c r="AY38" s="36">
        <v>3.2394465186398103E-2</v>
      </c>
      <c r="AZ38" s="36">
        <v>3.4288770457312399E-2</v>
      </c>
      <c r="BA38" s="36">
        <v>1.1921866354198021E-3</v>
      </c>
      <c r="BB38" s="36">
        <v>1.7465730931462682E-3</v>
      </c>
      <c r="BC38" s="36">
        <v>1.8166360432144118E-3</v>
      </c>
      <c r="BD38" s="36">
        <v>2.4647545458336305E-3</v>
      </c>
      <c r="BE38" s="36">
        <v>2.9798244318926825E-3</v>
      </c>
      <c r="BF38" s="36">
        <v>3.2656805376330982E-3</v>
      </c>
      <c r="BG38" s="36">
        <v>4.8542092528176348E-3</v>
      </c>
      <c r="BH38" s="36">
        <v>6.3276447380206796E-3</v>
      </c>
      <c r="BI38" s="36">
        <v>5.0929456598898882E-3</v>
      </c>
      <c r="BJ38" s="36">
        <v>6.4229488445870456E-3</v>
      </c>
      <c r="BK38" s="36">
        <v>1.2478025496198851E-2</v>
      </c>
      <c r="BL38" s="36">
        <v>2.8512145377661342E-2</v>
      </c>
      <c r="BM38" s="36">
        <v>3.4560288281376542E-2</v>
      </c>
      <c r="BN38" s="36">
        <v>3.7099051719110987E-2</v>
      </c>
    </row>
    <row r="39" spans="1:66">
      <c r="A39" s="36">
        <v>0.97634976942525931</v>
      </c>
      <c r="B39" s="36">
        <v>1.3515007663090195</v>
      </c>
      <c r="C39" s="36">
        <v>1.624120908487555</v>
      </c>
      <c r="D39" s="36">
        <v>0.32174721543914775</v>
      </c>
      <c r="E39" s="36">
        <v>2.8182767496799279</v>
      </c>
      <c r="F39" s="36">
        <v>10.59939891706065</v>
      </c>
      <c r="G39" s="36">
        <v>227.50190141294516</v>
      </c>
      <c r="H39" s="36">
        <v>15118.764420551379</v>
      </c>
      <c r="I39" s="36">
        <v>1679.2827929074897</v>
      </c>
      <c r="J39" s="36">
        <v>1.2470949517467549</v>
      </c>
      <c r="K39" s="36">
        <v>1.1040017537562849E-2</v>
      </c>
      <c r="L39" s="36">
        <v>1.0850730976276826E-2</v>
      </c>
      <c r="M39" s="36">
        <v>1.0600859677490465E-2</v>
      </c>
      <c r="N39" s="36">
        <v>1.1993775156899943E-2</v>
      </c>
      <c r="O39" s="36">
        <v>1.2883173388282489E-2</v>
      </c>
      <c r="P39" s="36">
        <v>1.4580077772613583E-2</v>
      </c>
      <c r="Q39" s="36">
        <v>1.4271092875146019E-2</v>
      </c>
      <c r="R39" s="36">
        <v>1.4833751216710224E-2</v>
      </c>
      <c r="S39" s="36">
        <v>1.6035193319495392E-2</v>
      </c>
      <c r="T39" s="36">
        <v>1.9884362376862006E-2</v>
      </c>
      <c r="U39" s="36">
        <v>2.2640447368727411E-2</v>
      </c>
      <c r="V39" s="36">
        <v>3.1284319924498545E-2</v>
      </c>
      <c r="W39" s="36">
        <v>3.6463757647774722E-2</v>
      </c>
      <c r="X39" s="36">
        <v>3.7939617010000842E-2</v>
      </c>
      <c r="Y39" s="36">
        <v>1.9242746205366929E-3</v>
      </c>
      <c r="Z39" s="36">
        <v>1.6782925273366447E-3</v>
      </c>
      <c r="AA39" s="36">
        <v>1.328148783194394E-3</v>
      </c>
      <c r="AB39" s="36">
        <v>1.9456294921609723E-3</v>
      </c>
      <c r="AC39" s="36">
        <v>2.5672624552074081E-3</v>
      </c>
      <c r="AD39" s="36">
        <v>3.3499165655590133E-3</v>
      </c>
      <c r="AE39" s="36">
        <v>4.3876527407082852E-3</v>
      </c>
      <c r="AF39" s="36">
        <v>5.2446890187194889E-3</v>
      </c>
      <c r="AG39" s="36">
        <v>5.7981395658889007E-3</v>
      </c>
      <c r="AH39" s="36">
        <v>7.0736938522190113E-3</v>
      </c>
      <c r="AI39" s="36">
        <v>1.1567581180450962E-2</v>
      </c>
      <c r="AJ39" s="36">
        <v>2.0692937841288846E-2</v>
      </c>
      <c r="AK39" s="36">
        <v>2.5140531187002001E-2</v>
      </c>
      <c r="AL39" s="36">
        <v>2.6445740767066857E-2</v>
      </c>
      <c r="AM39" s="36">
        <v>4.7558522927960067E-3</v>
      </c>
      <c r="AN39" s="36">
        <v>5.3621480899098597E-3</v>
      </c>
      <c r="AO39" s="36">
        <v>4.8799687266739625E-3</v>
      </c>
      <c r="AP39" s="36">
        <v>5.6475466466843769E-3</v>
      </c>
      <c r="AQ39" s="36">
        <v>5.9907463660062426E-3</v>
      </c>
      <c r="AR39" s="36">
        <v>5.8116719686696974E-3</v>
      </c>
      <c r="AS39" s="36">
        <v>7.1133096815198934E-3</v>
      </c>
      <c r="AT39" s="36">
        <v>8.5496612601732996E-3</v>
      </c>
      <c r="AU39" s="36">
        <v>8.9924678258414669E-3</v>
      </c>
      <c r="AV39" s="36">
        <v>1.0699079719426645E-2</v>
      </c>
      <c r="AW39" s="36">
        <v>1.6448167192712793E-2</v>
      </c>
      <c r="AX39" s="36">
        <v>2.6988273861782909E-2</v>
      </c>
      <c r="AY39" s="36">
        <v>3.2097957300382916E-2</v>
      </c>
      <c r="AZ39" s="36">
        <v>3.3991348051846733E-2</v>
      </c>
      <c r="BA39" s="36">
        <v>1.0362193389662684E-3</v>
      </c>
      <c r="BB39" s="36">
        <v>1.8861660349059996E-3</v>
      </c>
      <c r="BC39" s="36">
        <v>1.877435936932256E-3</v>
      </c>
      <c r="BD39" s="36">
        <v>2.538186025050211E-3</v>
      </c>
      <c r="BE39" s="36">
        <v>3.0396997677771837E-3</v>
      </c>
      <c r="BF39" s="36">
        <v>3.327662778024985E-3</v>
      </c>
      <c r="BG39" s="36">
        <v>4.925893969649757E-3</v>
      </c>
      <c r="BH39" s="36">
        <v>6.3980452073359988E-3</v>
      </c>
      <c r="BI39" s="36">
        <v>5.2436211490360955E-3</v>
      </c>
      <c r="BJ39" s="36">
        <v>6.6313991482838926E-3</v>
      </c>
      <c r="BK39" s="36">
        <v>1.2721130289665835E-2</v>
      </c>
      <c r="BL39" s="36">
        <v>2.8755495089219339E-2</v>
      </c>
      <c r="BM39" s="36">
        <v>3.4661381622105386E-2</v>
      </c>
      <c r="BN39" s="36">
        <v>3.7148541667768681E-2</v>
      </c>
    </row>
    <row r="40" spans="1:66">
      <c r="A40" s="36">
        <v>0.97190672401737244</v>
      </c>
      <c r="B40" s="36">
        <v>1.3485432406034383</v>
      </c>
      <c r="C40" s="36">
        <v>1.6138394259311961</v>
      </c>
      <c r="D40" s="36">
        <v>0.3195893175124967</v>
      </c>
      <c r="E40" s="36">
        <v>2.7973929778999178</v>
      </c>
      <c r="F40" s="36">
        <v>10.793440630160593</v>
      </c>
      <c r="G40" s="36">
        <v>221.099314751778</v>
      </c>
      <c r="H40" s="36">
        <v>15118.758856158593</v>
      </c>
      <c r="I40" s="36">
        <v>1679.2790690255697</v>
      </c>
      <c r="J40" s="36">
        <v>1.2550291563070055</v>
      </c>
      <c r="K40" s="36">
        <v>1.0956100284878841E-2</v>
      </c>
      <c r="L40" s="36">
        <v>1.1228680635856483E-2</v>
      </c>
      <c r="M40" s="36">
        <v>1.061196831350812E-2</v>
      </c>
      <c r="N40" s="36">
        <v>1.1909710569018149E-2</v>
      </c>
      <c r="O40" s="36">
        <v>1.2788451559849406E-2</v>
      </c>
      <c r="P40" s="36">
        <v>1.4560577620143133E-2</v>
      </c>
      <c r="Q40" s="36">
        <v>1.4261941181390562E-2</v>
      </c>
      <c r="R40" s="36">
        <v>1.5267209365570977E-2</v>
      </c>
      <c r="S40" s="36">
        <v>1.5668549246311309E-2</v>
      </c>
      <c r="T40" s="36">
        <v>1.9332488373623009E-2</v>
      </c>
      <c r="U40" s="36">
        <v>2.2089483237815913E-2</v>
      </c>
      <c r="V40" s="36">
        <v>3.0697759518166941E-2</v>
      </c>
      <c r="W40" s="36">
        <v>3.5976479535630934E-2</v>
      </c>
      <c r="X40" s="36">
        <v>3.7533128900021757E-2</v>
      </c>
      <c r="Y40" s="36">
        <v>1.135996667796338E-3</v>
      </c>
      <c r="Z40" s="36">
        <v>1.4109801053950595E-3</v>
      </c>
      <c r="AA40" s="36">
        <v>1.2930962915243512E-3</v>
      </c>
      <c r="AB40" s="36">
        <v>1.8825532566425285E-3</v>
      </c>
      <c r="AC40" s="36">
        <v>2.5074424843754902E-3</v>
      </c>
      <c r="AD40" s="36">
        <v>3.304391874908275E-3</v>
      </c>
      <c r="AE40" s="36">
        <v>4.3421585823180996E-3</v>
      </c>
      <c r="AF40" s="36">
        <v>5.2170761726673936E-3</v>
      </c>
      <c r="AG40" s="36">
        <v>5.6787815907258224E-3</v>
      </c>
      <c r="AH40" s="36">
        <v>6.9709072916766309E-3</v>
      </c>
      <c r="AI40" s="36">
        <v>1.1465636637985823E-2</v>
      </c>
      <c r="AJ40" s="36">
        <v>2.0644968981492887E-2</v>
      </c>
      <c r="AK40" s="36">
        <v>2.5168423464588342E-2</v>
      </c>
      <c r="AL40" s="36">
        <v>2.6641145751467175E-2</v>
      </c>
      <c r="AM40" s="36">
        <v>4.7337904711250347E-3</v>
      </c>
      <c r="AN40" s="36">
        <v>5.35196432995902E-3</v>
      </c>
      <c r="AO40" s="36">
        <v>4.8764651362307645E-3</v>
      </c>
      <c r="AP40" s="36">
        <v>5.6349093251636994E-3</v>
      </c>
      <c r="AQ40" s="36">
        <v>5.9729699696956101E-3</v>
      </c>
      <c r="AR40" s="36">
        <v>5.7897519791767727E-3</v>
      </c>
      <c r="AS40" s="36">
        <v>7.0910184809070687E-3</v>
      </c>
      <c r="AT40" s="36">
        <v>8.5430037024924414E-3</v>
      </c>
      <c r="AU40" s="36">
        <v>8.8469542807083201E-3</v>
      </c>
      <c r="AV40" s="36">
        <v>1.0509014893388961E-2</v>
      </c>
      <c r="AW40" s="36">
        <v>1.6135276159457507E-2</v>
      </c>
      <c r="AX40" s="36">
        <v>2.6617176219512043E-2</v>
      </c>
      <c r="AY40" s="36">
        <v>3.1777110755452462E-2</v>
      </c>
      <c r="AZ40" s="36">
        <v>3.3716022041033009E-2</v>
      </c>
      <c r="BA40" s="36">
        <v>9.6322190013770233E-4</v>
      </c>
      <c r="BB40" s="36">
        <v>1.7258068074795167E-3</v>
      </c>
      <c r="BC40" s="36">
        <v>1.8172591502886794E-3</v>
      </c>
      <c r="BD40" s="36">
        <v>2.4638907700938414E-3</v>
      </c>
      <c r="BE40" s="36">
        <v>2.9780314749035209E-3</v>
      </c>
      <c r="BF40" s="36">
        <v>3.280774000827351E-3</v>
      </c>
      <c r="BG40" s="36">
        <v>4.8677854036889377E-3</v>
      </c>
      <c r="BH40" s="36">
        <v>6.3359467297254973E-3</v>
      </c>
      <c r="BI40" s="36">
        <v>4.9178673114887777E-3</v>
      </c>
      <c r="BJ40" s="36">
        <v>6.1992200027729651E-3</v>
      </c>
      <c r="BK40" s="36">
        <v>1.1972918374184073E-2</v>
      </c>
      <c r="BL40" s="36">
        <v>2.791142891065037E-2</v>
      </c>
      <c r="BM40" s="36">
        <v>3.4017539811502219E-2</v>
      </c>
      <c r="BN40" s="36">
        <v>3.6610205062092463E-2</v>
      </c>
    </row>
    <row r="41" spans="1:66">
      <c r="A41" s="36">
        <v>0.9671049023561954</v>
      </c>
      <c r="B41" s="36">
        <v>1.3417455166199601</v>
      </c>
      <c r="C41" s="36">
        <v>1.6072205602908567</v>
      </c>
      <c r="D41" s="36">
        <v>0.31711353367222433</v>
      </c>
      <c r="E41" s="36">
        <v>2.7020999796237257</v>
      </c>
      <c r="F41" s="36">
        <v>10.701336262874021</v>
      </c>
      <c r="G41" s="36">
        <v>228.29534912980535</v>
      </c>
      <c r="H41" s="36">
        <v>15118.765082401937</v>
      </c>
      <c r="I41" s="36">
        <v>1679.2823126882543</v>
      </c>
      <c r="J41" s="36">
        <v>1.2361600158927393</v>
      </c>
      <c r="K41" s="36">
        <v>1.1770001697399324E-2</v>
      </c>
      <c r="L41" s="36">
        <v>1.1595634703913416E-2</v>
      </c>
      <c r="M41" s="36">
        <v>1.0821098808828264E-2</v>
      </c>
      <c r="N41" s="36">
        <v>1.2105851558200311E-2</v>
      </c>
      <c r="O41" s="36">
        <v>1.2976516048044204E-2</v>
      </c>
      <c r="P41" s="36">
        <v>1.4798126279437288E-2</v>
      </c>
      <c r="Q41" s="36">
        <v>1.4378603367437749E-2</v>
      </c>
      <c r="R41" s="36">
        <v>1.5062971344425528E-2</v>
      </c>
      <c r="S41" s="36">
        <v>1.5664619086371186E-2</v>
      </c>
      <c r="T41" s="36">
        <v>1.9325590573450784E-2</v>
      </c>
      <c r="U41" s="36">
        <v>2.1974830017980042E-2</v>
      </c>
      <c r="V41" s="36">
        <v>3.0649587986075946E-2</v>
      </c>
      <c r="W41" s="36">
        <v>3.5927670886974954E-2</v>
      </c>
      <c r="X41" s="36">
        <v>3.7472234325316003E-2</v>
      </c>
      <c r="Y41" s="36">
        <v>1.8763746968852172E-3</v>
      </c>
      <c r="Z41" s="36">
        <v>1.4261832493546117E-3</v>
      </c>
      <c r="AA41" s="36">
        <v>1.3043159907898858E-3</v>
      </c>
      <c r="AB41" s="36">
        <v>1.8937503951008421E-3</v>
      </c>
      <c r="AC41" s="36">
        <v>2.5115543272985681E-3</v>
      </c>
      <c r="AD41" s="36">
        <v>3.3003167127270789E-3</v>
      </c>
      <c r="AE41" s="36">
        <v>4.330745871790386E-3</v>
      </c>
      <c r="AF41" s="36">
        <v>5.1896833334444288E-3</v>
      </c>
      <c r="AG41" s="36">
        <v>5.5094604040044287E-3</v>
      </c>
      <c r="AH41" s="36">
        <v>6.802770536874319E-3</v>
      </c>
      <c r="AI41" s="36">
        <v>1.1226364257589048E-2</v>
      </c>
      <c r="AJ41" s="36">
        <v>2.0431344052965889E-2</v>
      </c>
      <c r="AK41" s="36">
        <v>2.511167119327298E-2</v>
      </c>
      <c r="AL41" s="36">
        <v>2.6517477248608361E-2</v>
      </c>
      <c r="AM41" s="36">
        <v>4.6745725002052402E-3</v>
      </c>
      <c r="AN41" s="36">
        <v>5.3637849049589029E-3</v>
      </c>
      <c r="AO41" s="36">
        <v>4.8833368846659371E-3</v>
      </c>
      <c r="AP41" s="36">
        <v>5.6408121954908694E-3</v>
      </c>
      <c r="AQ41" s="36">
        <v>5.9798402653405856E-3</v>
      </c>
      <c r="AR41" s="36">
        <v>5.8012803987134293E-3</v>
      </c>
      <c r="AS41" s="36">
        <v>7.0900163489822201E-3</v>
      </c>
      <c r="AT41" s="36">
        <v>8.5212923257814727E-3</v>
      </c>
      <c r="AU41" s="36">
        <v>8.7454208335544185E-3</v>
      </c>
      <c r="AV41" s="36">
        <v>1.0318987630683438E-2</v>
      </c>
      <c r="AW41" s="36">
        <v>1.5956653792635851E-2</v>
      </c>
      <c r="AX41" s="36">
        <v>2.6578406512994136E-2</v>
      </c>
      <c r="AY41" s="36">
        <v>3.1730337393194696E-2</v>
      </c>
      <c r="AZ41" s="36">
        <v>3.3606997683391468E-2</v>
      </c>
      <c r="BA41" s="36">
        <v>1.2347305524602508E-3</v>
      </c>
      <c r="BB41" s="36">
        <v>2.0002781853083458E-3</v>
      </c>
      <c r="BC41" s="36">
        <v>1.9038663057347489E-3</v>
      </c>
      <c r="BD41" s="36">
        <v>2.5140324655950645E-3</v>
      </c>
      <c r="BE41" s="36">
        <v>3.0126470223928612E-3</v>
      </c>
      <c r="BF41" s="36">
        <v>3.3017950716431386E-3</v>
      </c>
      <c r="BG41" s="36">
        <v>4.869054883531022E-3</v>
      </c>
      <c r="BH41" s="36">
        <v>6.3138261724537594E-3</v>
      </c>
      <c r="BI41" s="36">
        <v>4.7647332009328469E-3</v>
      </c>
      <c r="BJ41" s="36">
        <v>6.0190967418210992E-3</v>
      </c>
      <c r="BK41" s="36">
        <v>1.1816034791107053E-2</v>
      </c>
      <c r="BL41" s="36">
        <v>2.7790915804495223E-2</v>
      </c>
      <c r="BM41" s="36">
        <v>3.3973299599097576E-2</v>
      </c>
      <c r="BN41" s="36">
        <v>3.6601506285534428E-2</v>
      </c>
    </row>
    <row r="42" spans="1:66">
      <c r="A42" s="36">
        <v>0.96980434317004161</v>
      </c>
      <c r="B42" s="36">
        <v>1.3477342223097921</v>
      </c>
      <c r="C42" s="36">
        <v>1.6095331463800233</v>
      </c>
      <c r="D42" s="36">
        <v>0.31915985240023892</v>
      </c>
      <c r="E42" s="36">
        <v>2.7828850081604428</v>
      </c>
      <c r="F42" s="36">
        <v>10.775980673413311</v>
      </c>
      <c r="G42" s="36">
        <v>228.95168004037194</v>
      </c>
      <c r="H42" s="36">
        <v>15118.768855976421</v>
      </c>
      <c r="I42" s="36">
        <v>1679.2863404531904</v>
      </c>
      <c r="J42" s="36">
        <v>1.2326075594191674</v>
      </c>
      <c r="K42" s="36">
        <v>1.12599333873095E-2</v>
      </c>
      <c r="L42" s="36">
        <v>1.0989307285733342E-2</v>
      </c>
      <c r="M42" s="36">
        <v>1.0722828735537806E-2</v>
      </c>
      <c r="N42" s="36">
        <v>1.2065914830054951E-2</v>
      </c>
      <c r="O42" s="36">
        <v>1.289987204081253E-2</v>
      </c>
      <c r="P42" s="36">
        <v>1.4630511837872763E-2</v>
      </c>
      <c r="Q42" s="36">
        <v>1.4198728205809969E-2</v>
      </c>
      <c r="R42" s="36">
        <v>1.5316573616328221E-2</v>
      </c>
      <c r="S42" s="36">
        <v>1.5915804553500362E-2</v>
      </c>
      <c r="T42" s="36">
        <v>1.9747567200888261E-2</v>
      </c>
      <c r="U42" s="36">
        <v>2.2615162753185876E-2</v>
      </c>
      <c r="V42" s="36">
        <v>3.1458766234449161E-2</v>
      </c>
      <c r="W42" s="36">
        <v>3.6803274261204326E-2</v>
      </c>
      <c r="X42" s="36">
        <v>3.8342408759318942E-2</v>
      </c>
      <c r="Y42" s="36">
        <v>1.7129842665051329E-3</v>
      </c>
      <c r="Z42" s="36">
        <v>1.3286910104350679E-3</v>
      </c>
      <c r="AA42" s="36">
        <v>1.2543912571031418E-3</v>
      </c>
      <c r="AB42" s="36">
        <v>1.8692888229265004E-3</v>
      </c>
      <c r="AC42" s="36">
        <v>2.487490255032236E-3</v>
      </c>
      <c r="AD42" s="36">
        <v>3.2845047618356954E-3</v>
      </c>
      <c r="AE42" s="36">
        <v>4.3271987455661253E-3</v>
      </c>
      <c r="AF42" s="36">
        <v>5.1800276245999649E-3</v>
      </c>
      <c r="AG42" s="36">
        <v>5.8141476253236891E-3</v>
      </c>
      <c r="AH42" s="36">
        <v>7.2072532433587145E-3</v>
      </c>
      <c r="AI42" s="36">
        <v>1.1766799781445137E-2</v>
      </c>
      <c r="AJ42" s="36">
        <v>2.1068976611410301E-2</v>
      </c>
      <c r="AK42" s="36">
        <v>2.5716413199998012E-2</v>
      </c>
      <c r="AL42" s="36">
        <v>2.6987795673828849E-2</v>
      </c>
      <c r="AM42" s="36">
        <v>4.7232348513442917E-3</v>
      </c>
      <c r="AN42" s="36">
        <v>5.5173002397718787E-3</v>
      </c>
      <c r="AO42" s="36">
        <v>4.9104132624361984E-3</v>
      </c>
      <c r="AP42" s="36">
        <v>5.6519279777359245E-3</v>
      </c>
      <c r="AQ42" s="36">
        <v>5.9934896418674943E-3</v>
      </c>
      <c r="AR42" s="36">
        <v>5.800237858681093E-3</v>
      </c>
      <c r="AS42" s="36">
        <v>7.0944595655032727E-3</v>
      </c>
      <c r="AT42" s="36">
        <v>8.5388670562982754E-3</v>
      </c>
      <c r="AU42" s="36">
        <v>9.1922185458995082E-3</v>
      </c>
      <c r="AV42" s="36">
        <v>1.1034762807749834E-2</v>
      </c>
      <c r="AW42" s="36">
        <v>1.685820757911095E-2</v>
      </c>
      <c r="AX42" s="36">
        <v>2.7463022767699585E-2</v>
      </c>
      <c r="AY42" s="36">
        <v>3.2585501119875813E-2</v>
      </c>
      <c r="AZ42" s="36">
        <v>3.4436024662889746E-2</v>
      </c>
      <c r="BA42" s="36">
        <v>9.1577957718128457E-4</v>
      </c>
      <c r="BB42" s="36">
        <v>2.2600405679427979E-3</v>
      </c>
      <c r="BC42" s="36">
        <v>1.9538346660995212E-3</v>
      </c>
      <c r="BD42" s="36">
        <v>2.5296057790804728E-3</v>
      </c>
      <c r="BE42" s="36">
        <v>3.016642083560978E-3</v>
      </c>
      <c r="BF42" s="36">
        <v>3.2853550063011105E-3</v>
      </c>
      <c r="BG42" s="36">
        <v>4.8614397494854645E-3</v>
      </c>
      <c r="BH42" s="36">
        <v>6.320773600395427E-3</v>
      </c>
      <c r="BI42" s="36">
        <v>5.1974748802163118E-3</v>
      </c>
      <c r="BJ42" s="36">
        <v>6.5079866037067073E-3</v>
      </c>
      <c r="BK42" s="36">
        <v>1.2600351142111277E-2</v>
      </c>
      <c r="BL42" s="36">
        <v>2.8644640305285837E-2</v>
      </c>
      <c r="BM42" s="36">
        <v>3.4670782927506742E-2</v>
      </c>
      <c r="BN42" s="36">
        <v>3.7223021320578094E-2</v>
      </c>
    </row>
    <row r="43" spans="1:66">
      <c r="A43" s="36">
        <v>0.97248902713977203</v>
      </c>
      <c r="B43" s="36">
        <v>1.3563536642026017</v>
      </c>
      <c r="C43" s="36">
        <v>1.6288041200064078</v>
      </c>
      <c r="D43" s="36">
        <v>0.32341417739944089</v>
      </c>
      <c r="E43" s="36">
        <v>2.8417111439748597</v>
      </c>
      <c r="F43" s="36">
        <v>10.690288212440276</v>
      </c>
      <c r="G43" s="36">
        <v>221.86178856593813</v>
      </c>
      <c r="H43" s="36">
        <v>15118.76056238097</v>
      </c>
      <c r="I43" s="36">
        <v>1679.2805114218472</v>
      </c>
      <c r="J43" s="36">
        <v>1.261681974865444</v>
      </c>
      <c r="K43" s="36">
        <v>1.1662966565152099E-2</v>
      </c>
      <c r="L43" s="36">
        <v>1.1137237612090938E-2</v>
      </c>
      <c r="M43" s="36">
        <v>1.0666981217943778E-2</v>
      </c>
      <c r="N43" s="36">
        <v>1.1933859788516828E-2</v>
      </c>
      <c r="O43" s="36">
        <v>1.285397184036699E-2</v>
      </c>
      <c r="P43" s="36">
        <v>1.4596566831705035E-2</v>
      </c>
      <c r="Q43" s="36">
        <v>1.4162927082282844E-2</v>
      </c>
      <c r="R43" s="36">
        <v>1.4990807484971967E-2</v>
      </c>
      <c r="S43" s="36">
        <v>1.6003969297677539E-2</v>
      </c>
      <c r="T43" s="36">
        <v>1.9878481919492052E-2</v>
      </c>
      <c r="U43" s="36">
        <v>2.2919197136022116E-2</v>
      </c>
      <c r="V43" s="36">
        <v>3.1808827862080391E-2</v>
      </c>
      <c r="W43" s="36">
        <v>3.7026991023426187E-2</v>
      </c>
      <c r="X43" s="36">
        <v>3.8447408994182794E-2</v>
      </c>
      <c r="Y43" s="36">
        <v>1.3230221744796496E-3</v>
      </c>
      <c r="Z43" s="36">
        <v>1.6007118066113711E-3</v>
      </c>
      <c r="AA43" s="36">
        <v>1.3147970238599077E-3</v>
      </c>
      <c r="AB43" s="36">
        <v>1.9251901649642298E-3</v>
      </c>
      <c r="AC43" s="36">
        <v>2.5418595329449642E-3</v>
      </c>
      <c r="AD43" s="36">
        <v>3.3552973408693138E-3</v>
      </c>
      <c r="AE43" s="36">
        <v>4.3888401609389338E-3</v>
      </c>
      <c r="AF43" s="36">
        <v>5.2489459862568441E-3</v>
      </c>
      <c r="AG43" s="36">
        <v>5.8886466903839436E-3</v>
      </c>
      <c r="AH43" s="36">
        <v>7.2835818832885941E-3</v>
      </c>
      <c r="AI43" s="36">
        <v>1.1849157931364341E-2</v>
      </c>
      <c r="AJ43" s="36">
        <v>2.1002340185005037E-2</v>
      </c>
      <c r="AK43" s="36">
        <v>2.5600553026986394E-2</v>
      </c>
      <c r="AL43" s="36">
        <v>2.6827771806549914E-2</v>
      </c>
      <c r="AM43" s="36">
        <v>4.8777844774668382E-3</v>
      </c>
      <c r="AN43" s="36">
        <v>5.5631764490534051E-3</v>
      </c>
      <c r="AO43" s="36">
        <v>4.9220166110911035E-3</v>
      </c>
      <c r="AP43" s="36">
        <v>5.6677190144607259E-3</v>
      </c>
      <c r="AQ43" s="36">
        <v>5.9930048167823177E-3</v>
      </c>
      <c r="AR43" s="36">
        <v>5.8333344794565646E-3</v>
      </c>
      <c r="AS43" s="36">
        <v>7.1491076803529546E-3</v>
      </c>
      <c r="AT43" s="36">
        <v>8.5966021206628079E-3</v>
      </c>
      <c r="AU43" s="36">
        <v>9.2814778041744907E-3</v>
      </c>
      <c r="AV43" s="36">
        <v>1.1178177957203697E-2</v>
      </c>
      <c r="AW43" s="36">
        <v>1.7167632951317124E-2</v>
      </c>
      <c r="AX43" s="36">
        <v>2.7838061159670455E-2</v>
      </c>
      <c r="AY43" s="36">
        <v>3.2865160697831672E-2</v>
      </c>
      <c r="AZ43" s="36">
        <v>3.4653601579461943E-2</v>
      </c>
      <c r="BA43" s="36">
        <v>9.3041029504598374E-4</v>
      </c>
      <c r="BB43" s="36">
        <v>1.8691900684321885E-3</v>
      </c>
      <c r="BC43" s="36">
        <v>1.8898470621151399E-3</v>
      </c>
      <c r="BD43" s="36">
        <v>2.534382605109008E-3</v>
      </c>
      <c r="BE43" s="36">
        <v>3.0281025836620362E-3</v>
      </c>
      <c r="BF43" s="36">
        <v>3.3364307621507323E-3</v>
      </c>
      <c r="BG43" s="36">
        <v>4.9252431379920129E-3</v>
      </c>
      <c r="BH43" s="36">
        <v>6.3841485463113122E-3</v>
      </c>
      <c r="BI43" s="36">
        <v>5.2952018104640538E-3</v>
      </c>
      <c r="BJ43" s="36">
        <v>6.7949107781351487E-3</v>
      </c>
      <c r="BK43" s="36">
        <v>1.3019856459258171E-2</v>
      </c>
      <c r="BL43" s="36">
        <v>2.9295008528145917E-2</v>
      </c>
      <c r="BM43" s="36">
        <v>3.5248428155109271E-2</v>
      </c>
      <c r="BN43" s="36">
        <v>3.7710861238981583E-2</v>
      </c>
    </row>
    <row r="44" spans="1:66">
      <c r="A44" s="36">
        <v>0.97208956266164803</v>
      </c>
      <c r="B44" s="36">
        <v>1.3543465115316977</v>
      </c>
      <c r="C44" s="36">
        <v>1.6233465167384307</v>
      </c>
      <c r="D44" s="36">
        <v>0.322063149840215</v>
      </c>
      <c r="E44" s="36">
        <v>2.8288847284688572</v>
      </c>
      <c r="F44" s="36">
        <v>10.793699962882609</v>
      </c>
      <c r="G44" s="36">
        <v>224.63440625465873</v>
      </c>
      <c r="H44" s="36">
        <v>15118.764801146694</v>
      </c>
      <c r="I44" s="36">
        <v>1679.2803648876163</v>
      </c>
      <c r="J44" s="36">
        <v>1.2533570673377927</v>
      </c>
      <c r="K44" s="36">
        <v>1.1422406874330861E-2</v>
      </c>
      <c r="L44" s="36">
        <v>1.1143396105564383E-2</v>
      </c>
      <c r="M44" s="36">
        <v>1.0704858043037844E-2</v>
      </c>
      <c r="N44" s="36">
        <v>1.1981457631002248E-2</v>
      </c>
      <c r="O44" s="36">
        <v>1.2826348506203563E-2</v>
      </c>
      <c r="P44" s="36">
        <v>1.46086959996696E-2</v>
      </c>
      <c r="Q44" s="36">
        <v>1.4156782810542301E-2</v>
      </c>
      <c r="R44" s="36">
        <v>1.4987744445780479E-2</v>
      </c>
      <c r="S44" s="36">
        <v>1.6150000002028191E-2</v>
      </c>
      <c r="T44" s="36">
        <v>2.0128124508432457E-2</v>
      </c>
      <c r="U44" s="36">
        <v>2.3186733252756487E-2</v>
      </c>
      <c r="V44" s="36">
        <v>3.2065998385000641E-2</v>
      </c>
      <c r="W44" s="36">
        <v>3.726820656708673E-2</v>
      </c>
      <c r="X44" s="36">
        <v>3.8735491396886035E-2</v>
      </c>
      <c r="Y44" s="36">
        <v>2.6204790216294467E-3</v>
      </c>
      <c r="Z44" s="36">
        <v>1.4717951107032961E-3</v>
      </c>
      <c r="AA44" s="36">
        <v>1.3022352951375829E-3</v>
      </c>
      <c r="AB44" s="36">
        <v>1.9278033862060403E-3</v>
      </c>
      <c r="AC44" s="36">
        <v>2.5250652378618066E-3</v>
      </c>
      <c r="AD44" s="36">
        <v>3.3331106670813028E-3</v>
      </c>
      <c r="AE44" s="36">
        <v>4.371066183052272E-3</v>
      </c>
      <c r="AF44" s="36">
        <v>5.2458383782439943E-3</v>
      </c>
      <c r="AG44" s="36">
        <v>6.1069915952611763E-3</v>
      </c>
      <c r="AH44" s="36">
        <v>7.5344609418398255E-3</v>
      </c>
      <c r="AI44" s="36">
        <v>1.2201299718243148E-2</v>
      </c>
      <c r="AJ44" s="36">
        <v>2.1456605125582263E-2</v>
      </c>
      <c r="AK44" s="36">
        <v>2.6000109159863359E-2</v>
      </c>
      <c r="AL44" s="36">
        <v>2.7298669100478713E-2</v>
      </c>
      <c r="AM44" s="36">
        <v>4.6864935037725678E-3</v>
      </c>
      <c r="AN44" s="36">
        <v>5.4022249076232367E-3</v>
      </c>
      <c r="AO44" s="36">
        <v>4.8888755056471656E-3</v>
      </c>
      <c r="AP44" s="36">
        <v>5.6491499012689727E-3</v>
      </c>
      <c r="AQ44" s="36">
        <v>5.9936540658694255E-3</v>
      </c>
      <c r="AR44" s="36">
        <v>5.8163829879896217E-3</v>
      </c>
      <c r="AS44" s="36">
        <v>7.1190797150976247E-3</v>
      </c>
      <c r="AT44" s="36">
        <v>8.5601774696662421E-3</v>
      </c>
      <c r="AU44" s="36">
        <v>9.3314525137876136E-3</v>
      </c>
      <c r="AV44" s="36">
        <v>1.1257572659879088E-2</v>
      </c>
      <c r="AW44" s="36">
        <v>1.7249029388637181E-2</v>
      </c>
      <c r="AX44" s="36">
        <v>2.8080352119447583E-2</v>
      </c>
      <c r="AY44" s="36">
        <v>3.3145733973588658E-2</v>
      </c>
      <c r="AZ44" s="36">
        <v>3.4942617154801688E-2</v>
      </c>
      <c r="BA44" s="36">
        <v>1.1339919087400316E-3</v>
      </c>
      <c r="BB44" s="36">
        <v>1.9191667634344584E-3</v>
      </c>
      <c r="BC44" s="36">
        <v>1.8821040191101285E-3</v>
      </c>
      <c r="BD44" s="36">
        <v>2.5428163383695011E-3</v>
      </c>
      <c r="BE44" s="36">
        <v>3.0206283117925363E-3</v>
      </c>
      <c r="BF44" s="36">
        <v>3.3207468411485643E-3</v>
      </c>
      <c r="BG44" s="36">
        <v>4.9276894283972264E-3</v>
      </c>
      <c r="BH44" s="36">
        <v>6.4102444762560188E-3</v>
      </c>
      <c r="BI44" s="36">
        <v>5.4725445976763158E-3</v>
      </c>
      <c r="BJ44" s="36">
        <v>7.0328531909433049E-3</v>
      </c>
      <c r="BK44" s="36">
        <v>1.3242338955571751E-2</v>
      </c>
      <c r="BL44" s="36">
        <v>2.9450854644384249E-2</v>
      </c>
      <c r="BM44" s="36">
        <v>3.5309270852939452E-2</v>
      </c>
      <c r="BN44" s="36">
        <v>3.7748398611069954E-2</v>
      </c>
    </row>
    <row r="45" spans="1:66">
      <c r="A45" s="36">
        <v>0.96863667787640395</v>
      </c>
      <c r="B45" s="36">
        <v>1.3452652226701132</v>
      </c>
      <c r="C45" s="36">
        <v>1.6102653163313616</v>
      </c>
      <c r="D45" s="36">
        <v>0.31851360147029356</v>
      </c>
      <c r="E45" s="36">
        <v>2.7349263412028044</v>
      </c>
      <c r="F45" s="36">
        <v>10.589700468739915</v>
      </c>
      <c r="G45" s="36">
        <v>221.09526212927244</v>
      </c>
      <c r="H45" s="36">
        <v>15118.762783567039</v>
      </c>
      <c r="I45" s="36">
        <v>1679.2823017271389</v>
      </c>
      <c r="J45" s="36">
        <v>1.2520362672817724</v>
      </c>
      <c r="K45" s="36">
        <v>1.0821029895855138E-2</v>
      </c>
      <c r="L45" s="36">
        <v>1.0650310381708753E-2</v>
      </c>
      <c r="M45" s="36">
        <v>1.06075023230371E-2</v>
      </c>
      <c r="N45" s="36">
        <v>1.2026401837815571E-2</v>
      </c>
      <c r="O45" s="36">
        <v>1.2888649535136559E-2</v>
      </c>
      <c r="P45" s="36">
        <v>1.4583587536375495E-2</v>
      </c>
      <c r="Q45" s="36">
        <v>1.4219338094148526E-2</v>
      </c>
      <c r="R45" s="36">
        <v>1.5661097919472265E-2</v>
      </c>
      <c r="S45" s="36">
        <v>1.6015786820982147E-2</v>
      </c>
      <c r="T45" s="36">
        <v>1.9890019689115981E-2</v>
      </c>
      <c r="U45" s="36">
        <v>2.2782310475813833E-2</v>
      </c>
      <c r="V45" s="36">
        <v>3.1541387581599613E-2</v>
      </c>
      <c r="W45" s="36">
        <v>3.6787672932859741E-2</v>
      </c>
      <c r="X45" s="36">
        <v>3.8270340717704916E-2</v>
      </c>
      <c r="Y45" s="36">
        <v>1.2693856046278134E-3</v>
      </c>
      <c r="Z45" s="36">
        <v>1.3840182047475207E-3</v>
      </c>
      <c r="AA45" s="36">
        <v>1.283132148354112E-3</v>
      </c>
      <c r="AB45" s="36">
        <v>1.8993016049615717E-3</v>
      </c>
      <c r="AC45" s="36">
        <v>2.5216829342096366E-3</v>
      </c>
      <c r="AD45" s="36">
        <v>3.3181975259541393E-3</v>
      </c>
      <c r="AE45" s="36">
        <v>4.3667802307018767E-3</v>
      </c>
      <c r="AF45" s="36">
        <v>5.2363127527549399E-3</v>
      </c>
      <c r="AG45" s="36">
        <v>5.9577632357960403E-3</v>
      </c>
      <c r="AH45" s="36">
        <v>7.3895016207313315E-3</v>
      </c>
      <c r="AI45" s="36">
        <v>1.2018555877746322E-2</v>
      </c>
      <c r="AJ45" s="36">
        <v>2.1232537333120555E-2</v>
      </c>
      <c r="AK45" s="36">
        <v>2.5691967435414517E-2</v>
      </c>
      <c r="AL45" s="36">
        <v>2.7067081616478465E-2</v>
      </c>
      <c r="AM45" s="36">
        <v>4.6787839798708283E-3</v>
      </c>
      <c r="AN45" s="36">
        <v>5.4306974671360381E-3</v>
      </c>
      <c r="AO45" s="36">
        <v>4.8968811122490734E-3</v>
      </c>
      <c r="AP45" s="36">
        <v>5.6477147913941384E-3</v>
      </c>
      <c r="AQ45" s="36">
        <v>5.9922448646283826E-3</v>
      </c>
      <c r="AR45" s="36">
        <v>5.8085875570777325E-3</v>
      </c>
      <c r="AS45" s="36">
        <v>7.1258059329075522E-3</v>
      </c>
      <c r="AT45" s="36">
        <v>8.5907596986002453E-3</v>
      </c>
      <c r="AU45" s="36">
        <v>9.2518055810784285E-3</v>
      </c>
      <c r="AV45" s="36">
        <v>1.1156853856616133E-2</v>
      </c>
      <c r="AW45" s="36">
        <v>1.7062535582824327E-2</v>
      </c>
      <c r="AX45" s="36">
        <v>2.7665651055119089E-2</v>
      </c>
      <c r="AY45" s="36">
        <v>3.2776364702465269E-2</v>
      </c>
      <c r="AZ45" s="36">
        <v>3.457073640183117E-2</v>
      </c>
      <c r="BA45" s="36">
        <v>9.2984847132493627E-4</v>
      </c>
      <c r="BB45" s="36">
        <v>2.0044911845365936E-3</v>
      </c>
      <c r="BC45" s="36">
        <v>1.891405563645637E-3</v>
      </c>
      <c r="BD45" s="36">
        <v>2.5227979441030776E-3</v>
      </c>
      <c r="BE45" s="36">
        <v>3.018645032743115E-3</v>
      </c>
      <c r="BF45" s="36">
        <v>3.3053172403386881E-3</v>
      </c>
      <c r="BG45" s="36">
        <v>4.9031736775172344E-3</v>
      </c>
      <c r="BH45" s="36">
        <v>6.3808672132864303E-3</v>
      </c>
      <c r="BI45" s="36">
        <v>5.3303857998670502E-3</v>
      </c>
      <c r="BJ45" s="36">
        <v>6.7243019624956346E-3</v>
      </c>
      <c r="BK45" s="36">
        <v>1.2871029564791784E-2</v>
      </c>
      <c r="BL45" s="36">
        <v>2.8815594519318009E-2</v>
      </c>
      <c r="BM45" s="36">
        <v>3.4774861523411096E-2</v>
      </c>
      <c r="BN45" s="36">
        <v>3.7240085753889027E-2</v>
      </c>
    </row>
    <row r="46" spans="1:66">
      <c r="A46" s="36">
        <v>0.96676770415454927</v>
      </c>
      <c r="B46" s="36">
        <v>1.3471768505787294</v>
      </c>
      <c r="C46" s="36">
        <v>1.6055010570990322</v>
      </c>
      <c r="D46" s="36">
        <v>0.31908750924524126</v>
      </c>
      <c r="E46" s="36">
        <v>2.7853794376340422</v>
      </c>
      <c r="F46" s="36">
        <v>10.824984110243207</v>
      </c>
      <c r="G46" s="36">
        <v>224.90938935392847</v>
      </c>
      <c r="H46" s="36">
        <v>15118.761228932761</v>
      </c>
      <c r="I46" s="36">
        <v>1679.2796435913606</v>
      </c>
      <c r="J46" s="36">
        <v>1.235740253467184</v>
      </c>
      <c r="K46" s="36">
        <v>1.1313436037357214E-2</v>
      </c>
      <c r="L46" s="36">
        <v>1.123011662802759E-2</v>
      </c>
      <c r="M46" s="36">
        <v>1.0512817451922039E-2</v>
      </c>
      <c r="N46" s="36">
        <v>1.1837479358475742E-2</v>
      </c>
      <c r="O46" s="36">
        <v>1.2739570087163272E-2</v>
      </c>
      <c r="P46" s="36">
        <v>1.452752074904342E-2</v>
      </c>
      <c r="Q46" s="36">
        <v>1.4115513290030706E-2</v>
      </c>
      <c r="R46" s="36">
        <v>1.5259566258915688E-2</v>
      </c>
      <c r="S46" s="36">
        <v>1.5707995521143343E-2</v>
      </c>
      <c r="T46" s="36">
        <v>1.9423374551421294E-2</v>
      </c>
      <c r="U46" s="36">
        <v>2.2104028141535399E-2</v>
      </c>
      <c r="V46" s="36">
        <v>3.0881891911518581E-2</v>
      </c>
      <c r="W46" s="36">
        <v>3.6206365811521549E-2</v>
      </c>
      <c r="X46" s="36">
        <v>3.7752893612260183E-2</v>
      </c>
      <c r="Y46" s="36">
        <v>1.4305779285744269E-3</v>
      </c>
      <c r="Z46" s="36">
        <v>1.3956934969877827E-3</v>
      </c>
      <c r="AA46" s="36">
        <v>1.3032328381654779E-3</v>
      </c>
      <c r="AB46" s="36">
        <v>1.9410326682303273E-3</v>
      </c>
      <c r="AC46" s="36">
        <v>2.5378547326296557E-3</v>
      </c>
      <c r="AD46" s="36">
        <v>3.3510567935274753E-3</v>
      </c>
      <c r="AE46" s="36">
        <v>4.3737786524199402E-3</v>
      </c>
      <c r="AF46" s="36">
        <v>5.2417470015612031E-3</v>
      </c>
      <c r="AG46" s="36">
        <v>5.7579677269525625E-3</v>
      </c>
      <c r="AH46" s="36">
        <v>7.137871164604198E-3</v>
      </c>
      <c r="AI46" s="36">
        <v>1.1648926047471551E-2</v>
      </c>
      <c r="AJ46" s="36">
        <v>2.0867105344986474E-2</v>
      </c>
      <c r="AK46" s="36">
        <v>2.5526587614748575E-2</v>
      </c>
      <c r="AL46" s="36">
        <v>2.6768910947012586E-2</v>
      </c>
      <c r="AM46" s="36">
        <v>4.7533168660216949E-3</v>
      </c>
      <c r="AN46" s="36">
        <v>5.3314929815968404E-3</v>
      </c>
      <c r="AO46" s="36">
        <v>4.8733807679846759E-3</v>
      </c>
      <c r="AP46" s="36">
        <v>5.643088248750411E-3</v>
      </c>
      <c r="AQ46" s="36">
        <v>5.9918907567419492E-3</v>
      </c>
      <c r="AR46" s="36">
        <v>5.8201326208021358E-3</v>
      </c>
      <c r="AS46" s="36">
        <v>7.1347022700721978E-3</v>
      </c>
      <c r="AT46" s="36">
        <v>8.580863205459555E-3</v>
      </c>
      <c r="AU46" s="36">
        <v>8.994051374740011E-3</v>
      </c>
      <c r="AV46" s="36">
        <v>1.0753164614673648E-2</v>
      </c>
      <c r="AW46" s="36">
        <v>1.6551444592462678E-2</v>
      </c>
      <c r="AX46" s="36">
        <v>2.7105504135504783E-2</v>
      </c>
      <c r="AY46" s="36">
        <v>3.2181353799401943E-2</v>
      </c>
      <c r="AZ46" s="36">
        <v>3.4079028838888824E-2</v>
      </c>
      <c r="BA46" s="36">
        <v>8.4580937166328998E-4</v>
      </c>
      <c r="BB46" s="36">
        <v>1.6414856118938631E-3</v>
      </c>
      <c r="BC46" s="36">
        <v>1.8224086540646143E-3</v>
      </c>
      <c r="BD46" s="36">
        <v>2.5188435902565687E-3</v>
      </c>
      <c r="BE46" s="36">
        <v>3.0133361507131548E-3</v>
      </c>
      <c r="BF46" s="36">
        <v>3.3131937415799128E-3</v>
      </c>
      <c r="BG46" s="36">
        <v>4.9109846743881098E-3</v>
      </c>
      <c r="BH46" s="36">
        <v>6.3830928197508687E-3</v>
      </c>
      <c r="BI46" s="36">
        <v>5.0778168535427371E-3</v>
      </c>
      <c r="BJ46" s="36">
        <v>6.3885725909669979E-3</v>
      </c>
      <c r="BK46" s="36">
        <v>1.2256814874861511E-2</v>
      </c>
      <c r="BL46" s="36">
        <v>2.8197395100757968E-2</v>
      </c>
      <c r="BM46" s="36">
        <v>3.422244453469684E-2</v>
      </c>
      <c r="BN46" s="36">
        <v>3.6752177277474748E-2</v>
      </c>
    </row>
    <row r="47" spans="1:66">
      <c r="A47" s="36">
        <v>0.96955856280185548</v>
      </c>
      <c r="B47" s="36">
        <v>1.347031359140906</v>
      </c>
      <c r="C47" s="36">
        <v>1.6082346468363742</v>
      </c>
      <c r="D47" s="36">
        <v>0.31897620971739049</v>
      </c>
      <c r="E47" s="36">
        <v>2.7868063693583252</v>
      </c>
      <c r="F47" s="36">
        <v>10.870335642487287</v>
      </c>
      <c r="G47" s="36">
        <v>224.28555036196758</v>
      </c>
      <c r="H47" s="36">
        <v>15118.76236152278</v>
      </c>
      <c r="I47" s="36">
        <v>1679.2819325767559</v>
      </c>
      <c r="J47" s="36">
        <v>1.2243002651902453</v>
      </c>
      <c r="K47" s="36">
        <v>1.0932219492392804E-2</v>
      </c>
      <c r="L47" s="36">
        <v>1.1035529519573886E-2</v>
      </c>
      <c r="M47" s="36">
        <v>1.046248470673866E-2</v>
      </c>
      <c r="N47" s="36">
        <v>1.1808920802512867E-2</v>
      </c>
      <c r="O47" s="36">
        <v>1.2760420396863389E-2</v>
      </c>
      <c r="P47" s="36">
        <v>1.4507705454962905E-2</v>
      </c>
      <c r="Q47" s="36">
        <v>1.4226622168983929E-2</v>
      </c>
      <c r="R47" s="36">
        <v>1.5516233430932608E-2</v>
      </c>
      <c r="S47" s="36">
        <v>1.593425546443589E-2</v>
      </c>
      <c r="T47" s="36">
        <v>1.9686587823516382E-2</v>
      </c>
      <c r="U47" s="36">
        <v>2.230592347298517E-2</v>
      </c>
      <c r="V47" s="36">
        <v>3.1009771762689851E-2</v>
      </c>
      <c r="W47" s="36">
        <v>3.6230218160290671E-2</v>
      </c>
      <c r="X47" s="36">
        <v>3.7779092865972447E-2</v>
      </c>
      <c r="Y47" s="36">
        <v>7.8319906368703833E-4</v>
      </c>
      <c r="Z47" s="36">
        <v>1.2975789908602749E-3</v>
      </c>
      <c r="AA47" s="36">
        <v>1.2551620600301276E-3</v>
      </c>
      <c r="AB47" s="36">
        <v>1.8526823402089723E-3</v>
      </c>
      <c r="AC47" s="36">
        <v>2.4761677693935645E-3</v>
      </c>
      <c r="AD47" s="36">
        <v>3.2776663558473115E-3</v>
      </c>
      <c r="AE47" s="36">
        <v>4.3121012882136071E-3</v>
      </c>
      <c r="AF47" s="36">
        <v>5.1830616480896558E-3</v>
      </c>
      <c r="AG47" s="36">
        <v>5.8208063705859894E-3</v>
      </c>
      <c r="AH47" s="36">
        <v>7.1055841376863969E-3</v>
      </c>
      <c r="AI47" s="36">
        <v>1.1597256180344101E-2</v>
      </c>
      <c r="AJ47" s="36">
        <v>2.0700301409357379E-2</v>
      </c>
      <c r="AK47" s="36">
        <v>2.5324998001761936E-2</v>
      </c>
      <c r="AL47" s="36">
        <v>2.661535729423772E-2</v>
      </c>
      <c r="AM47" s="36">
        <v>4.8455409715529993E-3</v>
      </c>
      <c r="AN47" s="36">
        <v>5.2620734411358439E-3</v>
      </c>
      <c r="AO47" s="36">
        <v>4.8552115898003404E-3</v>
      </c>
      <c r="AP47" s="36">
        <v>5.6233990454547175E-3</v>
      </c>
      <c r="AQ47" s="36">
        <v>5.9662917248175249E-3</v>
      </c>
      <c r="AR47" s="36">
        <v>5.7835996620612421E-3</v>
      </c>
      <c r="AS47" s="36">
        <v>7.0754164957695263E-3</v>
      </c>
      <c r="AT47" s="36">
        <v>8.5189964113788156E-3</v>
      </c>
      <c r="AU47" s="36">
        <v>8.9142736029662224E-3</v>
      </c>
      <c r="AV47" s="36">
        <v>1.055222078705971E-2</v>
      </c>
      <c r="AW47" s="36">
        <v>1.6213299110868787E-2</v>
      </c>
      <c r="AX47" s="36">
        <v>2.6843505980610447E-2</v>
      </c>
      <c r="AY47" s="36">
        <v>3.1958407547261487E-2</v>
      </c>
      <c r="AZ47" s="36">
        <v>3.394147039660065E-2</v>
      </c>
      <c r="BA47" s="36">
        <v>8.9133180654472682E-4</v>
      </c>
      <c r="BB47" s="36">
        <v>1.5795807120475814E-3</v>
      </c>
      <c r="BC47" s="36">
        <v>1.7710822072038578E-3</v>
      </c>
      <c r="BD47" s="36">
        <v>2.4359143238928092E-3</v>
      </c>
      <c r="BE47" s="36">
        <v>2.9390031521636106E-3</v>
      </c>
      <c r="BF47" s="36">
        <v>3.2516952247218034E-3</v>
      </c>
      <c r="BG47" s="36">
        <v>4.8257857284293108E-3</v>
      </c>
      <c r="BH47" s="36">
        <v>6.2838735714914381E-3</v>
      </c>
      <c r="BI47" s="36">
        <v>5.1648720896309746E-3</v>
      </c>
      <c r="BJ47" s="36">
        <v>6.4469258064458789E-3</v>
      </c>
      <c r="BK47" s="36">
        <v>1.2346152463029003E-2</v>
      </c>
      <c r="BL47" s="36">
        <v>2.8304841209106521E-2</v>
      </c>
      <c r="BM47" s="36">
        <v>3.4381393456020391E-2</v>
      </c>
      <c r="BN47" s="36">
        <v>3.6920573706439294E-2</v>
      </c>
    </row>
    <row r="48" spans="1:66">
      <c r="A48" s="36">
        <v>0.97308156645746435</v>
      </c>
      <c r="B48" s="36">
        <v>1.3509577947320601</v>
      </c>
      <c r="C48" s="36">
        <v>1.618034514795577</v>
      </c>
      <c r="D48" s="36">
        <v>0.32002744432319119</v>
      </c>
      <c r="E48" s="36">
        <v>2.7458063670960771</v>
      </c>
      <c r="F48" s="36">
        <v>10.861336053111554</v>
      </c>
      <c r="G48" s="36">
        <v>218.93123034565625</v>
      </c>
      <c r="H48" s="36">
        <v>15118.759855758351</v>
      </c>
      <c r="I48" s="36">
        <v>1679.2786589601217</v>
      </c>
      <c r="J48" s="36">
        <v>1.2302307852786691</v>
      </c>
      <c r="K48" s="36">
        <v>1.1287412396926613E-2</v>
      </c>
      <c r="L48" s="36">
        <v>1.1268947441507611E-2</v>
      </c>
      <c r="M48" s="36">
        <v>1.0863450094286301E-2</v>
      </c>
      <c r="N48" s="36">
        <v>1.2198427600625344E-2</v>
      </c>
      <c r="O48" s="36">
        <v>1.3079410941886039E-2</v>
      </c>
      <c r="P48" s="36">
        <v>1.4939063459022723E-2</v>
      </c>
      <c r="Q48" s="36">
        <v>1.4382737465535403E-2</v>
      </c>
      <c r="R48" s="36">
        <v>1.5121833155839782E-2</v>
      </c>
      <c r="S48" s="36">
        <v>1.6005233054695957E-2</v>
      </c>
      <c r="T48" s="36">
        <v>1.9896986491362414E-2</v>
      </c>
      <c r="U48" s="36">
        <v>2.2806285445939614E-2</v>
      </c>
      <c r="V48" s="36">
        <v>3.1772858300529089E-2</v>
      </c>
      <c r="W48" s="36">
        <v>3.7056283149774695E-2</v>
      </c>
      <c r="X48" s="36">
        <v>3.85096511568866E-2</v>
      </c>
      <c r="Y48" s="36">
        <v>2.4307802986463889E-3</v>
      </c>
      <c r="Z48" s="36">
        <v>1.5053809746514858E-3</v>
      </c>
      <c r="AA48" s="36">
        <v>1.3298055497832795E-3</v>
      </c>
      <c r="AB48" s="36">
        <v>1.9671664734578109E-3</v>
      </c>
      <c r="AC48" s="36">
        <v>2.5615765656378125E-3</v>
      </c>
      <c r="AD48" s="36">
        <v>3.3443384195654987E-3</v>
      </c>
      <c r="AE48" s="36">
        <v>4.3777624971926624E-3</v>
      </c>
      <c r="AF48" s="36">
        <v>5.2396201494681813E-3</v>
      </c>
      <c r="AG48" s="36">
        <v>5.9319357393041424E-3</v>
      </c>
      <c r="AH48" s="36">
        <v>7.3958116988047905E-3</v>
      </c>
      <c r="AI48" s="36">
        <v>1.199059035900895E-2</v>
      </c>
      <c r="AJ48" s="36">
        <v>2.1231775816724426E-2</v>
      </c>
      <c r="AK48" s="36">
        <v>2.5830453328411943E-2</v>
      </c>
      <c r="AL48" s="36">
        <v>2.7127555568589853E-2</v>
      </c>
      <c r="AM48" s="36">
        <v>4.6175069856097557E-3</v>
      </c>
      <c r="AN48" s="36">
        <v>5.3788531216001755E-3</v>
      </c>
      <c r="AO48" s="36">
        <v>4.8903707723361844E-3</v>
      </c>
      <c r="AP48" s="36">
        <v>5.6513989301197384E-3</v>
      </c>
      <c r="AQ48" s="36">
        <v>5.9927651049117639E-3</v>
      </c>
      <c r="AR48" s="36">
        <v>5.8227462139924628E-3</v>
      </c>
      <c r="AS48" s="36">
        <v>7.1476824150127662E-3</v>
      </c>
      <c r="AT48" s="36">
        <v>8.6088172643017276E-3</v>
      </c>
      <c r="AU48" s="36">
        <v>9.2842650798086231E-3</v>
      </c>
      <c r="AV48" s="36">
        <v>1.1168760058304354E-2</v>
      </c>
      <c r="AW48" s="36">
        <v>1.70037042649419E-2</v>
      </c>
      <c r="AX48" s="36">
        <v>2.7768344372799229E-2</v>
      </c>
      <c r="AY48" s="36">
        <v>3.2791003529634655E-2</v>
      </c>
      <c r="AZ48" s="36">
        <v>3.4591914516521764E-2</v>
      </c>
      <c r="BA48" s="36">
        <v>1.2133374639131513E-3</v>
      </c>
      <c r="BB48" s="36">
        <v>1.8951453526870855E-3</v>
      </c>
      <c r="BC48" s="36">
        <v>1.8928294273989454E-3</v>
      </c>
      <c r="BD48" s="36">
        <v>2.5629032874163139E-3</v>
      </c>
      <c r="BE48" s="36">
        <v>3.0503543586405243E-3</v>
      </c>
      <c r="BF48" s="36">
        <v>3.3340396687317644E-3</v>
      </c>
      <c r="BG48" s="36">
        <v>4.935087998828862E-3</v>
      </c>
      <c r="BH48" s="36">
        <v>6.4105563054167756E-3</v>
      </c>
      <c r="BI48" s="36">
        <v>5.1953959003241488E-3</v>
      </c>
      <c r="BJ48" s="36">
        <v>6.6175552828405407E-3</v>
      </c>
      <c r="BK48" s="36">
        <v>1.2785761551080238E-2</v>
      </c>
      <c r="BL48" s="36">
        <v>2.9150621511443934E-2</v>
      </c>
      <c r="BM48" s="36">
        <v>3.5188692552881366E-2</v>
      </c>
      <c r="BN48" s="36">
        <v>3.7762948870095903E-2</v>
      </c>
    </row>
    <row r="49" spans="1:66">
      <c r="A49" s="36">
        <v>0.97060193520143223</v>
      </c>
      <c r="B49" s="36">
        <v>1.3503985050903744</v>
      </c>
      <c r="C49" s="36">
        <v>1.6138488417126657</v>
      </c>
      <c r="D49" s="36">
        <v>0.31942872970280928</v>
      </c>
      <c r="E49" s="36">
        <v>2.8108255149250407</v>
      </c>
      <c r="F49" s="36">
        <v>10.580012422227542</v>
      </c>
      <c r="G49" s="36">
        <v>226.06343616941408</v>
      </c>
      <c r="H49" s="36">
        <v>15118.768185047884</v>
      </c>
      <c r="I49" s="36">
        <v>1679.2882640607052</v>
      </c>
      <c r="J49" s="36">
        <v>1.2495314503081216</v>
      </c>
      <c r="K49" s="36">
        <v>1.0943314915755538E-2</v>
      </c>
      <c r="L49" s="36">
        <v>1.133100350368528E-2</v>
      </c>
      <c r="M49" s="36">
        <v>1.0780197204118082E-2</v>
      </c>
      <c r="N49" s="36">
        <v>1.2067524716376862E-2</v>
      </c>
      <c r="O49" s="36">
        <v>1.2881190059985771E-2</v>
      </c>
      <c r="P49" s="36">
        <v>1.4531562167836116E-2</v>
      </c>
      <c r="Q49" s="36">
        <v>1.4230497136471074E-2</v>
      </c>
      <c r="R49" s="36">
        <v>1.4395885222204797E-2</v>
      </c>
      <c r="S49" s="36">
        <v>1.5734879125350012E-2</v>
      </c>
      <c r="T49" s="36">
        <v>1.9525097414643026E-2</v>
      </c>
      <c r="U49" s="36">
        <v>2.2428034013375467E-2</v>
      </c>
      <c r="V49" s="36">
        <v>3.1144579905780092E-2</v>
      </c>
      <c r="W49" s="36">
        <v>3.6360891464878364E-2</v>
      </c>
      <c r="X49" s="36">
        <v>3.7896059369630745E-2</v>
      </c>
      <c r="Y49" s="36">
        <v>8.2168893410755975E-4</v>
      </c>
      <c r="Z49" s="36">
        <v>1.2519203699104034E-3</v>
      </c>
      <c r="AA49" s="36">
        <v>1.2515741822680219E-3</v>
      </c>
      <c r="AB49" s="36">
        <v>1.8564635454963187E-3</v>
      </c>
      <c r="AC49" s="36">
        <v>2.4644700083707332E-3</v>
      </c>
      <c r="AD49" s="36">
        <v>3.271232433488115E-3</v>
      </c>
      <c r="AE49" s="36">
        <v>4.3276897802519525E-3</v>
      </c>
      <c r="AF49" s="36">
        <v>5.205985301921446E-3</v>
      </c>
      <c r="AG49" s="36">
        <v>5.6366155412233502E-3</v>
      </c>
      <c r="AH49" s="36">
        <v>6.987129562998194E-3</v>
      </c>
      <c r="AI49" s="36">
        <v>1.1568321679524478E-2</v>
      </c>
      <c r="AJ49" s="36">
        <v>2.0955961197613841E-2</v>
      </c>
      <c r="AK49" s="36">
        <v>2.5571018698368201E-2</v>
      </c>
      <c r="AL49" s="36">
        <v>2.6956336181898324E-2</v>
      </c>
      <c r="AM49" s="36">
        <v>4.8292880760346345E-3</v>
      </c>
      <c r="AN49" s="36">
        <v>5.4415968079068204E-3</v>
      </c>
      <c r="AO49" s="36">
        <v>4.896068551185938E-3</v>
      </c>
      <c r="AP49" s="36">
        <v>5.6436116751500103E-3</v>
      </c>
      <c r="AQ49" s="36">
        <v>5.971241772681408E-3</v>
      </c>
      <c r="AR49" s="36">
        <v>5.7910899346358593E-3</v>
      </c>
      <c r="AS49" s="36">
        <v>7.0989860169407689E-3</v>
      </c>
      <c r="AT49" s="36">
        <v>8.563036915657787E-3</v>
      </c>
      <c r="AU49" s="36">
        <v>9.02505425918009E-3</v>
      </c>
      <c r="AV49" s="36">
        <v>1.0912458466876889E-2</v>
      </c>
      <c r="AW49" s="36">
        <v>1.6782244704022134E-2</v>
      </c>
      <c r="AX49" s="36">
        <v>2.7445138771181113E-2</v>
      </c>
      <c r="AY49" s="36">
        <v>3.2508018616356153E-2</v>
      </c>
      <c r="AZ49" s="36">
        <v>3.4349753620263962E-2</v>
      </c>
      <c r="BA49" s="36">
        <v>1.4042200738684674E-3</v>
      </c>
      <c r="BB49" s="36">
        <v>1.8325968899314724E-3</v>
      </c>
      <c r="BC49" s="36">
        <v>1.8532806665301699E-3</v>
      </c>
      <c r="BD49" s="36">
        <v>2.4783576674677118E-3</v>
      </c>
      <c r="BE49" s="36">
        <v>2.9787097451636968E-3</v>
      </c>
      <c r="BF49" s="36">
        <v>3.2808143698440785E-3</v>
      </c>
      <c r="BG49" s="36">
        <v>4.8647542486028048E-3</v>
      </c>
      <c r="BH49" s="36">
        <v>6.3302044896827421E-3</v>
      </c>
      <c r="BI49" s="36">
        <v>4.9151847075829761E-3</v>
      </c>
      <c r="BJ49" s="36">
        <v>6.2986122466597528E-3</v>
      </c>
      <c r="BK49" s="36">
        <v>1.227029785385394E-2</v>
      </c>
      <c r="BL49" s="36">
        <v>2.8410066830270676E-2</v>
      </c>
      <c r="BM49" s="36">
        <v>3.4559957123647754E-2</v>
      </c>
      <c r="BN49" s="36">
        <v>3.7128089168134641E-2</v>
      </c>
    </row>
    <row r="50" spans="1:66">
      <c r="A50" s="36">
        <v>0.96011629694157563</v>
      </c>
      <c r="B50" s="36">
        <v>1.3436622636978821</v>
      </c>
      <c r="C50" s="36">
        <v>1.6023777421526602</v>
      </c>
      <c r="D50" s="36">
        <v>0.31707457772298936</v>
      </c>
      <c r="E50" s="36">
        <v>2.7648060217537807</v>
      </c>
      <c r="F50" s="36">
        <v>10.781349696182186</v>
      </c>
      <c r="G50" s="36">
        <v>221.66450628788439</v>
      </c>
      <c r="H50" s="36">
        <v>15118.760569638782</v>
      </c>
      <c r="I50" s="36">
        <v>1679.2791467942466</v>
      </c>
      <c r="J50" s="36">
        <v>1.2549954111413164</v>
      </c>
      <c r="K50" s="36">
        <v>1.1579697473322123E-2</v>
      </c>
      <c r="L50" s="36">
        <v>1.1105540198149041E-2</v>
      </c>
      <c r="M50" s="36">
        <v>1.0596253335628889E-2</v>
      </c>
      <c r="N50" s="36">
        <v>1.1926880653774426E-2</v>
      </c>
      <c r="O50" s="36">
        <v>1.2807550480142588E-2</v>
      </c>
      <c r="P50" s="36">
        <v>1.4458365813878143E-2</v>
      </c>
      <c r="Q50" s="36">
        <v>1.4109397685675318E-2</v>
      </c>
      <c r="R50" s="36">
        <v>1.5529962495045322E-2</v>
      </c>
      <c r="S50" s="36">
        <v>1.5667997461585384E-2</v>
      </c>
      <c r="T50" s="36">
        <v>1.9403823475674552E-2</v>
      </c>
      <c r="U50" s="36">
        <v>2.2211889991604686E-2</v>
      </c>
      <c r="V50" s="36">
        <v>3.0951853621024459E-2</v>
      </c>
      <c r="W50" s="36">
        <v>3.6211820955556639E-2</v>
      </c>
      <c r="X50" s="36">
        <v>3.7761006998535546E-2</v>
      </c>
      <c r="Y50" s="36">
        <v>1.3531812974680042E-3</v>
      </c>
      <c r="Z50" s="36">
        <v>1.4178855371322968E-3</v>
      </c>
      <c r="AA50" s="36">
        <v>1.298972456553223E-3</v>
      </c>
      <c r="AB50" s="36">
        <v>1.9193418158113384E-3</v>
      </c>
      <c r="AC50" s="36">
        <v>2.526963939395924E-3</v>
      </c>
      <c r="AD50" s="36">
        <v>3.3222465773272143E-3</v>
      </c>
      <c r="AE50" s="36">
        <v>4.360163797548426E-3</v>
      </c>
      <c r="AF50" s="36">
        <v>5.2222964436605211E-3</v>
      </c>
      <c r="AG50" s="36">
        <v>5.8653672955609288E-3</v>
      </c>
      <c r="AH50" s="36">
        <v>7.1715138269614993E-3</v>
      </c>
      <c r="AI50" s="36">
        <v>1.1674275077862241E-2</v>
      </c>
      <c r="AJ50" s="36">
        <v>2.0837088586819163E-2</v>
      </c>
      <c r="AK50" s="36">
        <v>2.5454242946969432E-2</v>
      </c>
      <c r="AL50" s="36">
        <v>2.6726080187680336E-2</v>
      </c>
      <c r="AM50" s="36">
        <v>4.7406707299766275E-3</v>
      </c>
      <c r="AN50" s="36">
        <v>5.2972144290269101E-3</v>
      </c>
      <c r="AO50" s="36">
        <v>4.8630986335209637E-3</v>
      </c>
      <c r="AP50" s="36">
        <v>5.6343274892252694E-3</v>
      </c>
      <c r="AQ50" s="36">
        <v>5.9780423791746416E-3</v>
      </c>
      <c r="AR50" s="36">
        <v>5.7965705539232155E-3</v>
      </c>
      <c r="AS50" s="36">
        <v>7.0909956300419753E-3</v>
      </c>
      <c r="AT50" s="36">
        <v>8.5232083322358387E-3</v>
      </c>
      <c r="AU50" s="36">
        <v>8.938518578315376E-3</v>
      </c>
      <c r="AV50" s="36">
        <v>1.0652960238145886E-2</v>
      </c>
      <c r="AW50" s="36">
        <v>1.6413103170692278E-2</v>
      </c>
      <c r="AX50" s="36">
        <v>2.7125123871282217E-2</v>
      </c>
      <c r="AY50" s="36">
        <v>3.2310276446292883E-2</v>
      </c>
      <c r="AZ50" s="36">
        <v>3.427986510095641E-2</v>
      </c>
      <c r="BA50" s="36">
        <v>1.1805595794140836E-3</v>
      </c>
      <c r="BB50" s="36">
        <v>1.5979950190940404E-3</v>
      </c>
      <c r="BC50" s="36">
        <v>1.8069477060796472E-3</v>
      </c>
      <c r="BD50" s="36">
        <v>2.4858444619071428E-3</v>
      </c>
      <c r="BE50" s="36">
        <v>2.9889333656833673E-3</v>
      </c>
      <c r="BF50" s="36">
        <v>3.3048126034097279E-3</v>
      </c>
      <c r="BG50" s="36">
        <v>4.8921964508555245E-3</v>
      </c>
      <c r="BH50" s="36">
        <v>6.3539588160121492E-3</v>
      </c>
      <c r="BI50" s="36">
        <v>5.0558945997726023E-3</v>
      </c>
      <c r="BJ50" s="36">
        <v>6.3763794962320795E-3</v>
      </c>
      <c r="BK50" s="36">
        <v>1.2278263429882036E-2</v>
      </c>
      <c r="BL50" s="36">
        <v>2.82916956992183E-2</v>
      </c>
      <c r="BM50" s="36">
        <v>3.4340275760681716E-2</v>
      </c>
      <c r="BN50" s="36">
        <v>3.6934319778002593E-2</v>
      </c>
    </row>
    <row r="51" spans="1:66">
      <c r="A51" s="36">
        <v>0.97814972589640781</v>
      </c>
      <c r="B51" s="36">
        <v>1.3576436925348208</v>
      </c>
      <c r="C51" s="36">
        <v>1.6250399264325064</v>
      </c>
      <c r="D51" s="36">
        <v>0.32268394094875619</v>
      </c>
      <c r="E51" s="36">
        <v>2.7827911674769097</v>
      </c>
      <c r="F51" s="36">
        <v>10.68722703294279</v>
      </c>
      <c r="G51" s="36">
        <v>220.02899460824932</v>
      </c>
      <c r="H51" s="36">
        <v>15118.761657705478</v>
      </c>
      <c r="I51" s="36">
        <v>1679.2820427964859</v>
      </c>
      <c r="J51" s="36">
        <v>1.2359395681477645</v>
      </c>
      <c r="K51" s="36">
        <v>1.0049334075434447E-2</v>
      </c>
      <c r="L51" s="36">
        <v>1.0895689125643659E-2</v>
      </c>
      <c r="M51" s="36">
        <v>1.0806734025376654E-2</v>
      </c>
      <c r="N51" s="36">
        <v>1.215107764734201E-2</v>
      </c>
      <c r="O51" s="36">
        <v>1.3012596684527894E-2</v>
      </c>
      <c r="P51" s="36">
        <v>1.4692220761707234E-2</v>
      </c>
      <c r="Q51" s="36">
        <v>1.4441797440996525E-2</v>
      </c>
      <c r="R51" s="36">
        <v>1.451626717268617E-2</v>
      </c>
      <c r="S51" s="36">
        <v>1.6142378558887952E-2</v>
      </c>
      <c r="T51" s="36">
        <v>2.0029805723577186E-2</v>
      </c>
      <c r="U51" s="36">
        <v>2.2942880820249981E-2</v>
      </c>
      <c r="V51" s="36">
        <v>3.1873696135134244E-2</v>
      </c>
      <c r="W51" s="36">
        <v>3.7104059846696603E-2</v>
      </c>
      <c r="X51" s="36">
        <v>3.8499297036230985E-2</v>
      </c>
      <c r="Y51" s="36">
        <v>9.3104523095234441E-4</v>
      </c>
      <c r="Z51" s="36">
        <v>1.3567674855086793E-3</v>
      </c>
      <c r="AA51" s="36">
        <v>1.2591313361347749E-3</v>
      </c>
      <c r="AB51" s="36">
        <v>1.8717848970028323E-3</v>
      </c>
      <c r="AC51" s="36">
        <v>2.4953538495259887E-3</v>
      </c>
      <c r="AD51" s="36">
        <v>3.2863155761631755E-3</v>
      </c>
      <c r="AE51" s="36">
        <v>4.3349118003398867E-3</v>
      </c>
      <c r="AF51" s="36">
        <v>5.2158113677725059E-3</v>
      </c>
      <c r="AG51" s="36">
        <v>6.0242849807795847E-3</v>
      </c>
      <c r="AH51" s="36">
        <v>7.4081248312023668E-3</v>
      </c>
      <c r="AI51" s="36">
        <v>1.2018506389156499E-2</v>
      </c>
      <c r="AJ51" s="36">
        <v>2.1329075049922066E-2</v>
      </c>
      <c r="AK51" s="36">
        <v>2.5784828868455956E-2</v>
      </c>
      <c r="AL51" s="36">
        <v>2.7180409756898179E-2</v>
      </c>
      <c r="AM51" s="36">
        <v>4.772991272743228E-3</v>
      </c>
      <c r="AN51" s="36">
        <v>5.2673730695351594E-3</v>
      </c>
      <c r="AO51" s="36">
        <v>4.857329405217453E-3</v>
      </c>
      <c r="AP51" s="36">
        <v>5.627993384979291E-3</v>
      </c>
      <c r="AQ51" s="36">
        <v>5.9651424278183819E-3</v>
      </c>
      <c r="AR51" s="36">
        <v>5.778887235735046E-3</v>
      </c>
      <c r="AS51" s="36">
        <v>7.0953428374743756E-3</v>
      </c>
      <c r="AT51" s="36">
        <v>8.5693301689104915E-3</v>
      </c>
      <c r="AU51" s="36">
        <v>9.1911453223578674E-3</v>
      </c>
      <c r="AV51" s="36">
        <v>1.1060893333302669E-2</v>
      </c>
      <c r="AW51" s="36">
        <v>1.6834728387871409E-2</v>
      </c>
      <c r="AX51" s="36">
        <v>2.769104646598871E-2</v>
      </c>
      <c r="AY51" s="36">
        <v>3.2748843480203779E-2</v>
      </c>
      <c r="AZ51" s="36">
        <v>3.4652193815807385E-2</v>
      </c>
      <c r="BA51" s="36">
        <v>1.1497929723115682E-3</v>
      </c>
      <c r="BB51" s="36">
        <v>1.5788093798209733E-3</v>
      </c>
      <c r="BC51" s="36">
        <v>1.7562308529247349E-3</v>
      </c>
      <c r="BD51" s="36">
        <v>2.4462297909995309E-3</v>
      </c>
      <c r="BE51" s="36">
        <v>2.9691631235467856E-3</v>
      </c>
      <c r="BF51" s="36">
        <v>3.2553454012062811E-3</v>
      </c>
      <c r="BG51" s="36">
        <v>4.864066995668017E-3</v>
      </c>
      <c r="BH51" s="36">
        <v>6.3606281136170057E-3</v>
      </c>
      <c r="BI51" s="36">
        <v>5.2999029615687747E-3</v>
      </c>
      <c r="BJ51" s="36">
        <v>6.7616649704474608E-3</v>
      </c>
      <c r="BK51" s="36">
        <v>1.2948665732203185E-2</v>
      </c>
      <c r="BL51" s="36">
        <v>2.9183502047689901E-2</v>
      </c>
      <c r="BM51" s="36">
        <v>3.5217159632350725E-2</v>
      </c>
      <c r="BN51" s="36">
        <v>3.7705482166690722E-2</v>
      </c>
    </row>
    <row r="52" spans="1:66">
      <c r="A52" s="36">
        <v>0.97588781271518554</v>
      </c>
      <c r="B52" s="36">
        <v>1.3550323281713088</v>
      </c>
      <c r="C52" s="36">
        <v>1.6231446386732298</v>
      </c>
      <c r="D52" s="36">
        <v>0.32307550734784757</v>
      </c>
      <c r="E52" s="36">
        <v>2.8566425914376725</v>
      </c>
      <c r="F52" s="36">
        <v>10.975245129649007</v>
      </c>
      <c r="G52" s="36">
        <v>220.89403203844779</v>
      </c>
      <c r="H52" s="36">
        <v>15118.760719805636</v>
      </c>
      <c r="I52" s="36">
        <v>1679.2780452643976</v>
      </c>
      <c r="J52" s="36">
        <v>1.2516290847170892</v>
      </c>
      <c r="K52" s="36">
        <v>1.164344646982896E-2</v>
      </c>
      <c r="L52" s="36">
        <v>1.1390491593943196E-2</v>
      </c>
      <c r="M52" s="36">
        <v>1.0734926515547246E-2</v>
      </c>
      <c r="N52" s="36">
        <v>1.1971540666578965E-2</v>
      </c>
      <c r="O52" s="36">
        <v>1.2850000589770155E-2</v>
      </c>
      <c r="P52" s="36">
        <v>1.4664513220725426E-2</v>
      </c>
      <c r="Q52" s="36">
        <v>1.4118434578859532E-2</v>
      </c>
      <c r="R52" s="36">
        <v>1.5161393365798737E-2</v>
      </c>
      <c r="S52" s="36">
        <v>1.608213132057645E-2</v>
      </c>
      <c r="T52" s="36">
        <v>2.0018801237273308E-2</v>
      </c>
      <c r="U52" s="36">
        <v>2.2925787715994232E-2</v>
      </c>
      <c r="V52" s="36">
        <v>3.1809039395618903E-2</v>
      </c>
      <c r="W52" s="36">
        <v>3.6948235762898698E-2</v>
      </c>
      <c r="X52" s="36">
        <v>3.8401482082240541E-2</v>
      </c>
      <c r="Y52" s="36">
        <v>2.7575646339893004E-3</v>
      </c>
      <c r="Z52" s="36">
        <v>1.5414450830621221E-3</v>
      </c>
      <c r="AA52" s="36">
        <v>1.326724998128837E-3</v>
      </c>
      <c r="AB52" s="36">
        <v>1.9778035160103883E-3</v>
      </c>
      <c r="AC52" s="36">
        <v>2.5618143343549473E-3</v>
      </c>
      <c r="AD52" s="36">
        <v>3.3651791295764644E-3</v>
      </c>
      <c r="AE52" s="36">
        <v>4.400792139491759E-3</v>
      </c>
      <c r="AF52" s="36">
        <v>5.2681443658362265E-3</v>
      </c>
      <c r="AG52" s="36">
        <v>6.0357613271567632E-3</v>
      </c>
      <c r="AH52" s="36">
        <v>7.4253687327311317E-3</v>
      </c>
      <c r="AI52" s="36">
        <v>1.2023521832165446E-2</v>
      </c>
      <c r="AJ52" s="36">
        <v>2.1092414359558696E-2</v>
      </c>
      <c r="AK52" s="36">
        <v>2.5643816736407934E-2</v>
      </c>
      <c r="AL52" s="36">
        <v>2.6790272977917508E-2</v>
      </c>
      <c r="AM52" s="36">
        <v>4.6961895750110838E-3</v>
      </c>
      <c r="AN52" s="36">
        <v>5.4138409955740187E-3</v>
      </c>
      <c r="AO52" s="36">
        <v>4.893170807171012E-3</v>
      </c>
      <c r="AP52" s="36">
        <v>5.6530360310091572E-3</v>
      </c>
      <c r="AQ52" s="36">
        <v>5.9964993862870299E-3</v>
      </c>
      <c r="AR52" s="36">
        <v>5.8327359627502349E-3</v>
      </c>
      <c r="AS52" s="36">
        <v>7.1463983609161424E-3</v>
      </c>
      <c r="AT52" s="36">
        <v>8.593748690583311E-3</v>
      </c>
      <c r="AU52" s="36">
        <v>9.3515585340648785E-3</v>
      </c>
      <c r="AV52" s="36">
        <v>1.1242675827803533E-2</v>
      </c>
      <c r="AW52" s="36">
        <v>1.7148703509630575E-2</v>
      </c>
      <c r="AX52" s="36">
        <v>2.7625909146749447E-2</v>
      </c>
      <c r="AY52" s="36">
        <v>3.267490399640862E-2</v>
      </c>
      <c r="AZ52" s="36">
        <v>3.4582989427707864E-2</v>
      </c>
      <c r="BA52" s="36">
        <v>1.2960767325359264E-3</v>
      </c>
      <c r="BB52" s="36">
        <v>1.912313648171148E-3</v>
      </c>
      <c r="BC52" s="36">
        <v>1.9064172668209424E-3</v>
      </c>
      <c r="BD52" s="36">
        <v>2.5820669797157665E-3</v>
      </c>
      <c r="BE52" s="36">
        <v>3.0517021388662842E-3</v>
      </c>
      <c r="BF52" s="36">
        <v>3.3377382224436284E-3</v>
      </c>
      <c r="BG52" s="36">
        <v>4.9510402519717103E-3</v>
      </c>
      <c r="BH52" s="36">
        <v>6.4381754682443859E-3</v>
      </c>
      <c r="BI52" s="36">
        <v>5.4484274877646417E-3</v>
      </c>
      <c r="BJ52" s="36">
        <v>6.9651282809861329E-3</v>
      </c>
      <c r="BK52" s="36">
        <v>1.3152101001014797E-2</v>
      </c>
      <c r="BL52" s="36">
        <v>2.923929215647339E-2</v>
      </c>
      <c r="BM52" s="36">
        <v>3.5144111844988578E-2</v>
      </c>
      <c r="BN52" s="36">
        <v>3.7555684214480273E-2</v>
      </c>
    </row>
    <row r="53" spans="1:66">
      <c r="A53" s="36">
        <v>0.96524398568033187</v>
      </c>
      <c r="B53" s="36">
        <v>1.3434378821424795</v>
      </c>
      <c r="C53" s="36">
        <v>1.6092976261921987</v>
      </c>
      <c r="D53" s="36">
        <v>0.31802904576125851</v>
      </c>
      <c r="E53" s="36">
        <v>2.7955602172082972</v>
      </c>
      <c r="F53" s="36">
        <v>10.643557484693753</v>
      </c>
      <c r="G53" s="36">
        <v>223.53987340700644</v>
      </c>
      <c r="H53" s="36">
        <v>15118.764827438941</v>
      </c>
      <c r="I53" s="36">
        <v>1679.2831577893717</v>
      </c>
      <c r="J53" s="36">
        <v>1.254214816475155</v>
      </c>
      <c r="K53" s="36">
        <v>1.1127075047015506E-2</v>
      </c>
      <c r="L53" s="36">
        <v>1.0895025239832601E-2</v>
      </c>
      <c r="M53" s="36">
        <v>1.0553221779943778E-2</v>
      </c>
      <c r="N53" s="36">
        <v>1.191142453868743E-2</v>
      </c>
      <c r="O53" s="36">
        <v>1.2775055339510389E-2</v>
      </c>
      <c r="P53" s="36">
        <v>1.4525214745291443E-2</v>
      </c>
      <c r="Q53" s="36">
        <v>1.4229776475642147E-2</v>
      </c>
      <c r="R53" s="36">
        <v>1.5063519868254481E-2</v>
      </c>
      <c r="S53" s="36">
        <v>1.5796254502670571E-2</v>
      </c>
      <c r="T53" s="36">
        <v>1.9561033912228139E-2</v>
      </c>
      <c r="U53" s="36">
        <v>2.2357529611745829E-2</v>
      </c>
      <c r="V53" s="36">
        <v>3.1083244479836541E-2</v>
      </c>
      <c r="W53" s="36">
        <v>3.6270830247402734E-2</v>
      </c>
      <c r="X53" s="36">
        <v>3.7758229374149382E-2</v>
      </c>
      <c r="Y53" s="36">
        <v>2.0758472508330687E-3</v>
      </c>
      <c r="Z53" s="36">
        <v>1.4457903320508638E-3</v>
      </c>
      <c r="AA53" s="36">
        <v>1.2944445085236256E-3</v>
      </c>
      <c r="AB53" s="36">
        <v>1.9052689822337712E-3</v>
      </c>
      <c r="AC53" s="36">
        <v>2.5288543367839875E-3</v>
      </c>
      <c r="AD53" s="36">
        <v>3.3021638802181678E-3</v>
      </c>
      <c r="AE53" s="36">
        <v>4.3421978727970229E-3</v>
      </c>
      <c r="AF53" s="36">
        <v>5.1989849952753624E-3</v>
      </c>
      <c r="AG53" s="36">
        <v>6.0160483116932853E-3</v>
      </c>
      <c r="AH53" s="36">
        <v>7.3247341001653173E-3</v>
      </c>
      <c r="AI53" s="36">
        <v>1.1885246498769101E-2</v>
      </c>
      <c r="AJ53" s="36">
        <v>2.1011977940820676E-2</v>
      </c>
      <c r="AK53" s="36">
        <v>2.5559669638930516E-2</v>
      </c>
      <c r="AL53" s="36">
        <v>2.689050592309036E-2</v>
      </c>
      <c r="AM53" s="36">
        <v>4.7451295926517001E-3</v>
      </c>
      <c r="AN53" s="36">
        <v>5.400701119822964E-3</v>
      </c>
      <c r="AO53" s="36">
        <v>4.8860712398606692E-3</v>
      </c>
      <c r="AP53" s="36">
        <v>5.6467451052635582E-3</v>
      </c>
      <c r="AQ53" s="36">
        <v>5.9888497548506742E-3</v>
      </c>
      <c r="AR53" s="36">
        <v>5.7999407948871526E-3</v>
      </c>
      <c r="AS53" s="36">
        <v>7.0931985098819355E-3</v>
      </c>
      <c r="AT53" s="36">
        <v>8.5325764646275188E-3</v>
      </c>
      <c r="AU53" s="36">
        <v>9.1097228734664457E-3</v>
      </c>
      <c r="AV53" s="36">
        <v>1.0865219997411127E-2</v>
      </c>
      <c r="AW53" s="36">
        <v>1.6653479237241701E-2</v>
      </c>
      <c r="AX53" s="36">
        <v>2.7367176677413112E-2</v>
      </c>
      <c r="AY53" s="36">
        <v>3.2534551143284365E-2</v>
      </c>
      <c r="AZ53" s="36">
        <v>3.4471281483049392E-2</v>
      </c>
      <c r="BA53" s="36">
        <v>8.5931776324080851E-4</v>
      </c>
      <c r="BB53" s="36">
        <v>1.9355765526378353E-3</v>
      </c>
      <c r="BC53" s="36">
        <v>1.8773242912751087E-3</v>
      </c>
      <c r="BD53" s="36">
        <v>2.5141900288609526E-3</v>
      </c>
      <c r="BE53" s="36">
        <v>3.0158936638707509E-3</v>
      </c>
      <c r="BF53" s="36">
        <v>3.2961854062402607E-3</v>
      </c>
      <c r="BG53" s="36">
        <v>4.8839320371725494E-3</v>
      </c>
      <c r="BH53" s="36">
        <v>6.3517898143611723E-3</v>
      </c>
      <c r="BI53" s="36">
        <v>5.1444517752451818E-3</v>
      </c>
      <c r="BJ53" s="36">
        <v>6.5761931875506609E-3</v>
      </c>
      <c r="BK53" s="36">
        <v>1.2570375987973189E-2</v>
      </c>
      <c r="BL53" s="36">
        <v>2.8504780518057608E-2</v>
      </c>
      <c r="BM53" s="36">
        <v>3.4508308700242539E-2</v>
      </c>
      <c r="BN53" s="36">
        <v>3.6936902611744662E-2</v>
      </c>
    </row>
    <row r="54" spans="1:66">
      <c r="A54" s="36">
        <v>0.96492345105002808</v>
      </c>
      <c r="B54" s="36">
        <v>1.3476414941419463</v>
      </c>
      <c r="C54" s="36">
        <v>1.6098392062248319</v>
      </c>
      <c r="D54" s="36">
        <v>0.31866573925025277</v>
      </c>
      <c r="E54" s="36">
        <v>2.7947108932592677</v>
      </c>
      <c r="F54" s="36">
        <v>10.819505439529557</v>
      </c>
      <c r="G54" s="36">
        <v>225.76797425386152</v>
      </c>
      <c r="H54" s="36">
        <v>15118.761379499931</v>
      </c>
      <c r="I54" s="36">
        <v>1679.2796262500406</v>
      </c>
      <c r="J54" s="36">
        <v>1.2271037396420643</v>
      </c>
      <c r="K54" s="36">
        <v>1.1137402892055686E-2</v>
      </c>
      <c r="L54" s="36">
        <v>1.1109352885642857E-2</v>
      </c>
      <c r="M54" s="36">
        <v>1.0759047208306964E-2</v>
      </c>
      <c r="N54" s="36">
        <v>1.1999684526805315E-2</v>
      </c>
      <c r="O54" s="36">
        <v>1.2852877051625466E-2</v>
      </c>
      <c r="P54" s="36">
        <v>1.4504732945570495E-2</v>
      </c>
      <c r="Q54" s="36">
        <v>1.41264301059702E-2</v>
      </c>
      <c r="R54" s="36">
        <v>1.4713919714879255E-2</v>
      </c>
      <c r="S54" s="36">
        <v>1.5541887677184646E-2</v>
      </c>
      <c r="T54" s="36">
        <v>1.9225280796377898E-2</v>
      </c>
      <c r="U54" s="36">
        <v>2.1962257618727551E-2</v>
      </c>
      <c r="V54" s="36">
        <v>3.0684350586959105E-2</v>
      </c>
      <c r="W54" s="36">
        <v>3.5950556327769757E-2</v>
      </c>
      <c r="X54" s="36">
        <v>3.7472963779378962E-2</v>
      </c>
      <c r="Y54" s="36">
        <v>1.3131527732542982E-3</v>
      </c>
      <c r="Z54" s="36">
        <v>1.3376509727894203E-3</v>
      </c>
      <c r="AA54" s="36">
        <v>1.2562652909249435E-3</v>
      </c>
      <c r="AB54" s="36">
        <v>1.8503864345911969E-3</v>
      </c>
      <c r="AC54" s="36">
        <v>2.4642903811575483E-3</v>
      </c>
      <c r="AD54" s="36">
        <v>3.2573692373001509E-3</v>
      </c>
      <c r="AE54" s="36">
        <v>4.3083871656959781E-3</v>
      </c>
      <c r="AF54" s="36">
        <v>5.1780973036459231E-3</v>
      </c>
      <c r="AG54" s="36">
        <v>5.7471964359175126E-3</v>
      </c>
      <c r="AH54" s="36">
        <v>6.9994847562444449E-3</v>
      </c>
      <c r="AI54" s="36">
        <v>1.1436357127366677E-2</v>
      </c>
      <c r="AJ54" s="36">
        <v>2.0613315169308848E-2</v>
      </c>
      <c r="AK54" s="36">
        <v>2.5211535065924013E-2</v>
      </c>
      <c r="AL54" s="36">
        <v>2.653438216007387E-2</v>
      </c>
      <c r="AM54" s="36">
        <v>4.7406172409495033E-3</v>
      </c>
      <c r="AN54" s="36">
        <v>5.3332238942093652E-3</v>
      </c>
      <c r="AO54" s="36">
        <v>4.8672782877680568E-3</v>
      </c>
      <c r="AP54" s="36">
        <v>5.6283931210267648E-3</v>
      </c>
      <c r="AQ54" s="36">
        <v>5.9722352279213027E-3</v>
      </c>
      <c r="AR54" s="36">
        <v>5.7696385387996669E-3</v>
      </c>
      <c r="AS54" s="36">
        <v>7.039717031408617E-3</v>
      </c>
      <c r="AT54" s="36">
        <v>8.4688099432770267E-3</v>
      </c>
      <c r="AU54" s="36">
        <v>8.7924006579313454E-3</v>
      </c>
      <c r="AV54" s="36">
        <v>1.0432571292516957E-2</v>
      </c>
      <c r="AW54" s="36">
        <v>1.6066579786941784E-2</v>
      </c>
      <c r="AX54" s="36">
        <v>2.6702682798835971E-2</v>
      </c>
      <c r="AY54" s="36">
        <v>3.1958972126617628E-2</v>
      </c>
      <c r="AZ54" s="36">
        <v>3.3992240034311297E-2</v>
      </c>
      <c r="BA54" s="36">
        <v>1.228717923583162E-3</v>
      </c>
      <c r="BB54" s="36">
        <v>1.8147819281076093E-3</v>
      </c>
      <c r="BC54" s="36">
        <v>1.8362662888364648E-3</v>
      </c>
      <c r="BD54" s="36">
        <v>2.4533309083540917E-3</v>
      </c>
      <c r="BE54" s="36">
        <v>2.9656020019445976E-3</v>
      </c>
      <c r="BF54" s="36">
        <v>3.2465381629857488E-3</v>
      </c>
      <c r="BG54" s="36">
        <v>4.8354186946985489E-3</v>
      </c>
      <c r="BH54" s="36">
        <v>6.3135304511748808E-3</v>
      </c>
      <c r="BI54" s="36">
        <v>5.0228387186084991E-3</v>
      </c>
      <c r="BJ54" s="36">
        <v>6.3510117676443528E-3</v>
      </c>
      <c r="BK54" s="36">
        <v>1.2110743560059246E-2</v>
      </c>
      <c r="BL54" s="36">
        <v>2.7916337866510186E-2</v>
      </c>
      <c r="BM54" s="36">
        <v>3.4018978447681897E-2</v>
      </c>
      <c r="BN54" s="36">
        <v>3.6549448139551237E-2</v>
      </c>
    </row>
    <row r="55" spans="1:66">
      <c r="A55" s="36">
        <v>0.96555037902463781</v>
      </c>
      <c r="B55" s="36">
        <v>1.3464874907913778</v>
      </c>
      <c r="C55" s="36">
        <v>1.6090651165761576</v>
      </c>
      <c r="D55" s="36">
        <v>0.31744841917403188</v>
      </c>
      <c r="E55" s="36">
        <v>2.786588876206149</v>
      </c>
      <c r="F55" s="36">
        <v>10.854933582579783</v>
      </c>
      <c r="G55" s="36">
        <v>231.67700125271153</v>
      </c>
      <c r="H55" s="36">
        <v>15118.76277198406</v>
      </c>
      <c r="I55" s="36">
        <v>1679.2819978467367</v>
      </c>
      <c r="J55" s="36">
        <v>1.2381730058356173</v>
      </c>
      <c r="K55" s="36">
        <v>1.1615763877608465E-2</v>
      </c>
      <c r="L55" s="36">
        <v>1.1500664541688429E-2</v>
      </c>
      <c r="M55" s="36">
        <v>1.0974105910806126E-2</v>
      </c>
      <c r="N55" s="36">
        <v>1.2230618215574066E-2</v>
      </c>
      <c r="O55" s="36">
        <v>1.3106920561994782E-2</v>
      </c>
      <c r="P55" s="36">
        <v>1.4821373473761583E-2</v>
      </c>
      <c r="Q55" s="36">
        <v>1.4353382450940221E-2</v>
      </c>
      <c r="R55" s="36">
        <v>1.4600456154587138E-2</v>
      </c>
      <c r="S55" s="36">
        <v>1.5855282715553906E-2</v>
      </c>
      <c r="T55" s="36">
        <v>1.9769234750783241E-2</v>
      </c>
      <c r="U55" s="36">
        <v>2.2758675476495675E-2</v>
      </c>
      <c r="V55" s="36">
        <v>3.1731037146542913E-2</v>
      </c>
      <c r="W55" s="36">
        <v>3.7014234081041222E-2</v>
      </c>
      <c r="X55" s="36">
        <v>3.8521082086499396E-2</v>
      </c>
      <c r="Y55" s="36">
        <v>2.5785125475970977E-3</v>
      </c>
      <c r="Z55" s="36">
        <v>1.3100749332763963E-3</v>
      </c>
      <c r="AA55" s="36">
        <v>1.2687765199162755E-3</v>
      </c>
      <c r="AB55" s="36">
        <v>1.8859235396657709E-3</v>
      </c>
      <c r="AC55" s="36">
        <v>2.4868156816554962E-3</v>
      </c>
      <c r="AD55" s="36">
        <v>3.2797415060428635E-3</v>
      </c>
      <c r="AE55" s="36">
        <v>4.3242625552379803E-3</v>
      </c>
      <c r="AF55" s="36">
        <v>5.206439845757623E-3</v>
      </c>
      <c r="AG55" s="36">
        <v>5.931844370248531E-3</v>
      </c>
      <c r="AH55" s="36">
        <v>7.349089869092486E-3</v>
      </c>
      <c r="AI55" s="36">
        <v>1.2008433875813311E-2</v>
      </c>
      <c r="AJ55" s="36">
        <v>2.1438749814120837E-2</v>
      </c>
      <c r="AK55" s="36">
        <v>2.6085859507836047E-2</v>
      </c>
      <c r="AL55" s="36">
        <v>2.7395115420972019E-2</v>
      </c>
      <c r="AM55" s="36">
        <v>4.6544827537397526E-3</v>
      </c>
      <c r="AN55" s="36">
        <v>5.2512279811032835E-3</v>
      </c>
      <c r="AO55" s="36">
        <v>4.8497655821644935E-3</v>
      </c>
      <c r="AP55" s="36">
        <v>5.622238690559455E-3</v>
      </c>
      <c r="AQ55" s="36">
        <v>5.968930532488907E-3</v>
      </c>
      <c r="AR55" s="36">
        <v>5.7761674068913752E-3</v>
      </c>
      <c r="AS55" s="36">
        <v>7.0675726674054237E-3</v>
      </c>
      <c r="AT55" s="36">
        <v>8.5111571019803878E-3</v>
      </c>
      <c r="AU55" s="36">
        <v>9.2008722281512519E-3</v>
      </c>
      <c r="AV55" s="36">
        <v>1.1049002168826644E-2</v>
      </c>
      <c r="AW55" s="36">
        <v>1.6834671482293177E-2</v>
      </c>
      <c r="AX55" s="36">
        <v>2.7657912474392841E-2</v>
      </c>
      <c r="AY55" s="36">
        <v>3.2733380232525651E-2</v>
      </c>
      <c r="AZ55" s="36">
        <v>3.4559847806339659E-2</v>
      </c>
      <c r="BA55" s="36">
        <v>1.3096515115232081E-3</v>
      </c>
      <c r="BB55" s="36">
        <v>1.7856837372802106E-3</v>
      </c>
      <c r="BC55" s="36">
        <v>1.8329139265835497E-3</v>
      </c>
      <c r="BD55" s="36">
        <v>2.4832139708641458E-3</v>
      </c>
      <c r="BE55" s="36">
        <v>2.9911959942131119E-3</v>
      </c>
      <c r="BF55" s="36">
        <v>3.2837677150400328E-3</v>
      </c>
      <c r="BG55" s="36">
        <v>4.8724409532513672E-3</v>
      </c>
      <c r="BH55" s="36">
        <v>6.3430512409263324E-3</v>
      </c>
      <c r="BI55" s="36">
        <v>5.136193658957673E-3</v>
      </c>
      <c r="BJ55" s="36">
        <v>6.5646226058607973E-3</v>
      </c>
      <c r="BK55" s="36">
        <v>1.2608537982287869E-2</v>
      </c>
      <c r="BL55" s="36">
        <v>2.8910605462541164E-2</v>
      </c>
      <c r="BM55" s="36">
        <v>3.4934348401958505E-2</v>
      </c>
      <c r="BN55" s="36">
        <v>3.7549405066365282E-2</v>
      </c>
    </row>
    <row r="56" spans="1:66">
      <c r="A56" s="36">
        <v>0.96313285205531629</v>
      </c>
      <c r="B56" s="36">
        <v>1.3426975947727724</v>
      </c>
      <c r="C56" s="36">
        <v>1.6025279933264394</v>
      </c>
      <c r="D56" s="36">
        <v>0.31756660326164032</v>
      </c>
      <c r="E56" s="36">
        <v>2.7419445936461151</v>
      </c>
      <c r="F56" s="36">
        <v>10.617654098524222</v>
      </c>
      <c r="G56" s="36">
        <v>222.75754534690628</v>
      </c>
      <c r="H56" s="36">
        <v>15118.762818380783</v>
      </c>
      <c r="I56" s="36">
        <v>1679.2795153916124</v>
      </c>
      <c r="J56" s="36">
        <v>1.2402295557644865</v>
      </c>
      <c r="K56" s="36">
        <v>1.1357660481815168E-2</v>
      </c>
      <c r="L56" s="36">
        <v>1.1072891818307328E-2</v>
      </c>
      <c r="M56" s="36">
        <v>1.0494093166806696E-2</v>
      </c>
      <c r="N56" s="36">
        <v>1.1861486602507887E-2</v>
      </c>
      <c r="O56" s="36">
        <v>1.2694559031911081E-2</v>
      </c>
      <c r="P56" s="36">
        <v>1.4458396805680727E-2</v>
      </c>
      <c r="Q56" s="36">
        <v>1.4141592915255234E-2</v>
      </c>
      <c r="R56" s="36">
        <v>1.5688306506030966E-2</v>
      </c>
      <c r="S56" s="36">
        <v>1.5781220720659628E-2</v>
      </c>
      <c r="T56" s="36">
        <v>1.9546070854566572E-2</v>
      </c>
      <c r="U56" s="36">
        <v>2.2345659410125542E-2</v>
      </c>
      <c r="V56" s="36">
        <v>3.1118204029824643E-2</v>
      </c>
      <c r="W56" s="36">
        <v>3.6396973996908923E-2</v>
      </c>
      <c r="X56" s="36">
        <v>3.7928155137250646E-2</v>
      </c>
      <c r="Y56" s="36">
        <v>1.2114511464401375E-3</v>
      </c>
      <c r="Z56" s="36">
        <v>1.3758175781293995E-3</v>
      </c>
      <c r="AA56" s="36">
        <v>1.2981444486370476E-3</v>
      </c>
      <c r="AB56" s="36">
        <v>1.9227986117016016E-3</v>
      </c>
      <c r="AC56" s="36">
        <v>2.5310442821786872E-3</v>
      </c>
      <c r="AD56" s="36">
        <v>3.3385668275215412E-3</v>
      </c>
      <c r="AE56" s="36">
        <v>4.3630147896519872E-3</v>
      </c>
      <c r="AF56" s="36">
        <v>5.2210380549256377E-3</v>
      </c>
      <c r="AG56" s="36">
        <v>5.8973362510850516E-3</v>
      </c>
      <c r="AH56" s="36">
        <v>7.2587057959833069E-3</v>
      </c>
      <c r="AI56" s="36">
        <v>1.1790253613592856E-2</v>
      </c>
      <c r="AJ56" s="36">
        <v>2.0912487059139603E-2</v>
      </c>
      <c r="AK56" s="36">
        <v>2.5516818009936205E-2</v>
      </c>
      <c r="AL56" s="36">
        <v>2.6867816350129782E-2</v>
      </c>
      <c r="AM56" s="36">
        <v>4.710224736199059E-3</v>
      </c>
      <c r="AN56" s="36">
        <v>5.2592200498522163E-3</v>
      </c>
      <c r="AO56" s="36">
        <v>4.8552324119135876E-3</v>
      </c>
      <c r="AP56" s="36">
        <v>5.6312070581074573E-3</v>
      </c>
      <c r="AQ56" s="36">
        <v>5.9818431853040401E-3</v>
      </c>
      <c r="AR56" s="36">
        <v>5.8003444333725139E-3</v>
      </c>
      <c r="AS56" s="36">
        <v>7.0954086044953497E-3</v>
      </c>
      <c r="AT56" s="36">
        <v>8.5262292113597437E-3</v>
      </c>
      <c r="AU56" s="36">
        <v>9.0590947200593491E-3</v>
      </c>
      <c r="AV56" s="36">
        <v>1.0762021128747787E-2</v>
      </c>
      <c r="AW56" s="36">
        <v>1.6532247051915343E-2</v>
      </c>
      <c r="AX56" s="36">
        <v>2.7239441718318488E-2</v>
      </c>
      <c r="AY56" s="36">
        <v>3.2404581992341759E-2</v>
      </c>
      <c r="AZ56" s="36">
        <v>3.4360775501868376E-2</v>
      </c>
      <c r="BA56" s="36">
        <v>1.152065058466872E-3</v>
      </c>
      <c r="BB56" s="36">
        <v>1.6249518313801662E-3</v>
      </c>
      <c r="BC56" s="36">
        <v>1.8031632080427063E-3</v>
      </c>
      <c r="BD56" s="36">
        <v>2.4917826645262211E-3</v>
      </c>
      <c r="BE56" s="36">
        <v>2.9919112784595574E-3</v>
      </c>
      <c r="BF56" s="36">
        <v>3.3064533812781093E-3</v>
      </c>
      <c r="BG56" s="36">
        <v>4.8904734467740529E-3</v>
      </c>
      <c r="BH56" s="36">
        <v>6.3485227815707271E-3</v>
      </c>
      <c r="BI56" s="36">
        <v>5.1883044776584088E-3</v>
      </c>
      <c r="BJ56" s="36">
        <v>6.5351583666183764E-3</v>
      </c>
      <c r="BK56" s="36">
        <v>1.2554917895780756E-2</v>
      </c>
      <c r="BL56" s="36">
        <v>2.8418395116882031E-2</v>
      </c>
      <c r="BM56" s="36">
        <v>3.4380295705247671E-2</v>
      </c>
      <c r="BN56" s="36">
        <v>3.6862295088022322E-2</v>
      </c>
    </row>
    <row r="57" spans="1:66">
      <c r="A57" s="36">
        <v>0.97672983235626787</v>
      </c>
      <c r="B57" s="36">
        <v>1.3578076779724642</v>
      </c>
      <c r="C57" s="36">
        <v>1.6306512705754768</v>
      </c>
      <c r="D57" s="36">
        <v>0.32389427303012425</v>
      </c>
      <c r="E57" s="36">
        <v>2.8080165030884565</v>
      </c>
      <c r="F57" s="36">
        <v>10.611782530836429</v>
      </c>
      <c r="G57" s="36">
        <v>225.79280228924756</v>
      </c>
      <c r="H57" s="36">
        <v>15118.763700961201</v>
      </c>
      <c r="I57" s="36">
        <v>1679.2817059323304</v>
      </c>
      <c r="J57" s="36">
        <v>1.2698296913736573</v>
      </c>
      <c r="K57" s="36">
        <v>1.1197073528025066E-2</v>
      </c>
      <c r="L57" s="36">
        <v>1.0720742887512257E-2</v>
      </c>
      <c r="M57" s="36">
        <v>1.0490484356717062E-2</v>
      </c>
      <c r="N57" s="36">
        <v>1.1845207728509111E-2</v>
      </c>
      <c r="O57" s="36">
        <v>1.2739592201611801E-2</v>
      </c>
      <c r="P57" s="36">
        <v>1.4497964467678913E-2</v>
      </c>
      <c r="Q57" s="36">
        <v>1.4104145546263916E-2</v>
      </c>
      <c r="R57" s="36">
        <v>1.5300757051294455E-2</v>
      </c>
      <c r="S57" s="36">
        <v>1.6179517874588451E-2</v>
      </c>
      <c r="T57" s="36">
        <v>2.0115668316930468E-2</v>
      </c>
      <c r="U57" s="36">
        <v>2.3049884612609452E-2</v>
      </c>
      <c r="V57" s="36">
        <v>3.1844201289388571E-2</v>
      </c>
      <c r="W57" s="36">
        <v>3.699574937091539E-2</v>
      </c>
      <c r="X57" s="36">
        <v>3.8466831708976287E-2</v>
      </c>
      <c r="Y57" s="36">
        <v>1.0498632523535671E-3</v>
      </c>
      <c r="Z57" s="36">
        <v>1.3586082650758181E-3</v>
      </c>
      <c r="AA57" s="36">
        <v>1.2807685428572781E-3</v>
      </c>
      <c r="AB57" s="36">
        <v>1.918373055700339E-3</v>
      </c>
      <c r="AC57" s="36">
        <v>2.5199787174944119E-3</v>
      </c>
      <c r="AD57" s="36">
        <v>3.3344804353957563E-3</v>
      </c>
      <c r="AE57" s="36">
        <v>4.3577251950446053E-3</v>
      </c>
      <c r="AF57" s="36">
        <v>5.2324635202844185E-3</v>
      </c>
      <c r="AG57" s="36">
        <v>6.0832971123535749E-3</v>
      </c>
      <c r="AH57" s="36">
        <v>7.5074241527152714E-3</v>
      </c>
      <c r="AI57" s="36">
        <v>1.2095726301248813E-2</v>
      </c>
      <c r="AJ57" s="36">
        <v>2.1265762519995773E-2</v>
      </c>
      <c r="AK57" s="36">
        <v>2.5808238881179557E-2</v>
      </c>
      <c r="AL57" s="36">
        <v>2.7015383814548218E-2</v>
      </c>
      <c r="AM57" s="36">
        <v>4.7976862961359888E-3</v>
      </c>
      <c r="AN57" s="36">
        <v>5.37589731663006E-3</v>
      </c>
      <c r="AO57" s="36">
        <v>4.881013761826908E-3</v>
      </c>
      <c r="AP57" s="36">
        <v>5.6437395791209457E-3</v>
      </c>
      <c r="AQ57" s="36">
        <v>5.9882318590237706E-3</v>
      </c>
      <c r="AR57" s="36">
        <v>5.8235636789942093E-3</v>
      </c>
      <c r="AS57" s="36">
        <v>7.1388424808094143E-3</v>
      </c>
      <c r="AT57" s="36">
        <v>8.5882490705660054E-3</v>
      </c>
      <c r="AU57" s="36">
        <v>9.4703977473017311E-3</v>
      </c>
      <c r="AV57" s="36">
        <v>1.1336939961553195E-2</v>
      </c>
      <c r="AW57" s="36">
        <v>1.7226625240764539E-2</v>
      </c>
      <c r="AX57" s="36">
        <v>2.7816482943802331E-2</v>
      </c>
      <c r="AY57" s="36">
        <v>3.2867483987053511E-2</v>
      </c>
      <c r="AZ57" s="36">
        <v>3.4725295423352835E-2</v>
      </c>
      <c r="BA57" s="36">
        <v>8.4647785009036073E-4</v>
      </c>
      <c r="BB57" s="36">
        <v>1.7013852590390748E-3</v>
      </c>
      <c r="BC57" s="36">
        <v>1.8367570542746796E-3</v>
      </c>
      <c r="BD57" s="36">
        <v>2.5202873158328082E-3</v>
      </c>
      <c r="BE57" s="36">
        <v>3.0059174045938665E-3</v>
      </c>
      <c r="BF57" s="36">
        <v>3.3194164208056208E-3</v>
      </c>
      <c r="BG57" s="36">
        <v>4.9133487852875092E-3</v>
      </c>
      <c r="BH57" s="36">
        <v>6.3810168381362355E-3</v>
      </c>
      <c r="BI57" s="36">
        <v>5.4631863195314986E-3</v>
      </c>
      <c r="BJ57" s="36">
        <v>6.9894643524777101E-3</v>
      </c>
      <c r="BK57" s="36">
        <v>1.3193558675165751E-2</v>
      </c>
      <c r="BL57" s="36">
        <v>2.9302638361215775E-2</v>
      </c>
      <c r="BM57" s="36">
        <v>3.5176551863006202E-2</v>
      </c>
      <c r="BN57" s="36">
        <v>3.7589891084366653E-2</v>
      </c>
    </row>
    <row r="58" spans="1:66">
      <c r="A58" s="36">
        <v>0.97258159403498146</v>
      </c>
      <c r="B58" s="36">
        <v>1.3517185292909619</v>
      </c>
      <c r="C58" s="36">
        <v>1.6160996534851093</v>
      </c>
      <c r="D58" s="36">
        <v>0.3208893883072283</v>
      </c>
      <c r="E58" s="36">
        <v>2.7806904821955269</v>
      </c>
      <c r="F58" s="36">
        <v>10.832883937233209</v>
      </c>
      <c r="G58" s="36">
        <v>218.87116154282353</v>
      </c>
      <c r="H58" s="36">
        <v>15118.76593530834</v>
      </c>
      <c r="I58" s="36">
        <v>1679.2862168906518</v>
      </c>
      <c r="J58" s="36">
        <v>1.2769369422353467</v>
      </c>
      <c r="K58" s="36">
        <v>1.1113523642328765E-2</v>
      </c>
      <c r="L58" s="36">
        <v>1.0742430483288146E-2</v>
      </c>
      <c r="M58" s="36">
        <v>1.0692349184728171E-2</v>
      </c>
      <c r="N58" s="36">
        <v>1.2005735930871782E-2</v>
      </c>
      <c r="O58" s="36">
        <v>1.2859815921040926E-2</v>
      </c>
      <c r="P58" s="36">
        <v>1.4523490657588602E-2</v>
      </c>
      <c r="Q58" s="36">
        <v>1.4231836569014285E-2</v>
      </c>
      <c r="R58" s="36">
        <v>1.6016089990467081E-2</v>
      </c>
      <c r="S58" s="36">
        <v>1.6331713502476523E-2</v>
      </c>
      <c r="T58" s="36">
        <v>2.035979045081748E-2</v>
      </c>
      <c r="U58" s="36">
        <v>2.3441870102187196E-2</v>
      </c>
      <c r="V58" s="36">
        <v>3.2189501210736528E-2</v>
      </c>
      <c r="W58" s="36">
        <v>3.7455274369561177E-2</v>
      </c>
      <c r="X58" s="36">
        <v>3.892584183831934E-2</v>
      </c>
      <c r="Y58" s="36">
        <v>1.3334419981394327E-3</v>
      </c>
      <c r="Z58" s="36">
        <v>1.2209824073797088E-3</v>
      </c>
      <c r="AA58" s="36">
        <v>1.2226367160957366E-3</v>
      </c>
      <c r="AB58" s="36">
        <v>1.8215258927567091E-3</v>
      </c>
      <c r="AC58" s="36">
        <v>2.4482801668221105E-3</v>
      </c>
      <c r="AD58" s="36">
        <v>3.2843941159740979E-3</v>
      </c>
      <c r="AE58" s="36">
        <v>4.3367943250225676E-3</v>
      </c>
      <c r="AF58" s="36">
        <v>5.2052804707987477E-3</v>
      </c>
      <c r="AG58" s="36">
        <v>6.1803193687106281E-3</v>
      </c>
      <c r="AH58" s="36">
        <v>7.6757855876240164E-3</v>
      </c>
      <c r="AI58" s="36">
        <v>1.2367926336314039E-2</v>
      </c>
      <c r="AJ58" s="36">
        <v>2.1537113182540812E-2</v>
      </c>
      <c r="AK58" s="36">
        <v>2.5990818005415826E-2</v>
      </c>
      <c r="AL58" s="36">
        <v>2.7175737527771165E-2</v>
      </c>
      <c r="AM58" s="36">
        <v>4.7795546460919595E-3</v>
      </c>
      <c r="AN58" s="36">
        <v>5.3681729348699038E-3</v>
      </c>
      <c r="AO58" s="36">
        <v>4.87479625348045E-3</v>
      </c>
      <c r="AP58" s="36">
        <v>5.6266042351968363E-3</v>
      </c>
      <c r="AQ58" s="36">
        <v>5.9701817248490399E-3</v>
      </c>
      <c r="AR58" s="36">
        <v>5.7868906728106911E-3</v>
      </c>
      <c r="AS58" s="36">
        <v>7.0968443528076092E-3</v>
      </c>
      <c r="AT58" s="36">
        <v>8.5664510980189533E-3</v>
      </c>
      <c r="AU58" s="36">
        <v>9.6781303679199498E-3</v>
      </c>
      <c r="AV58" s="36">
        <v>1.1709135242389923E-2</v>
      </c>
      <c r="AW58" s="36">
        <v>1.7746676124931325E-2</v>
      </c>
      <c r="AX58" s="36">
        <v>2.8136736120874115E-2</v>
      </c>
      <c r="AY58" s="36">
        <v>3.3112938817169306E-2</v>
      </c>
      <c r="AZ58" s="36">
        <v>3.4914262473653798E-2</v>
      </c>
      <c r="BA58" s="36">
        <v>9.3076006854628419E-4</v>
      </c>
      <c r="BB58" s="36">
        <v>1.8052403237905847E-3</v>
      </c>
      <c r="BC58" s="36">
        <v>1.8253413985927279E-3</v>
      </c>
      <c r="BD58" s="36">
        <v>2.4331346777300804E-3</v>
      </c>
      <c r="BE58" s="36">
        <v>2.9422483622029332E-3</v>
      </c>
      <c r="BF58" s="36">
        <v>3.2555940286443626E-3</v>
      </c>
      <c r="BG58" s="36">
        <v>4.8442712388097114E-3</v>
      </c>
      <c r="BH58" s="36">
        <v>6.3178793329190727E-3</v>
      </c>
      <c r="BI58" s="36">
        <v>5.6624920791869563E-3</v>
      </c>
      <c r="BJ58" s="36">
        <v>7.074586973174187E-3</v>
      </c>
      <c r="BK58" s="36">
        <v>1.3404793424791155E-2</v>
      </c>
      <c r="BL58" s="36">
        <v>2.9451941209253197E-2</v>
      </c>
      <c r="BM58" s="36">
        <v>3.529677344357323E-2</v>
      </c>
      <c r="BN58" s="36">
        <v>3.7721417579272803E-2</v>
      </c>
    </row>
    <row r="59" spans="1:66">
      <c r="A59" s="36">
        <v>0.97905108462205992</v>
      </c>
      <c r="B59" s="36">
        <v>1.3550562292124622</v>
      </c>
      <c r="C59" s="36">
        <v>1.6260266613519201</v>
      </c>
      <c r="D59" s="36">
        <v>0.32274300421188168</v>
      </c>
      <c r="E59" s="36">
        <v>2.8272568807020586</v>
      </c>
      <c r="F59" s="36">
        <v>10.795930308241021</v>
      </c>
      <c r="G59" s="36">
        <v>221.26751261757084</v>
      </c>
      <c r="H59" s="36">
        <v>15118.763225796845</v>
      </c>
      <c r="I59" s="36">
        <v>1679.2827577715007</v>
      </c>
      <c r="J59" s="36">
        <v>1.2279833882592246</v>
      </c>
      <c r="K59" s="36">
        <v>1.1191613746843328E-2</v>
      </c>
      <c r="L59" s="36">
        <v>1.1028556587059502E-2</v>
      </c>
      <c r="M59" s="36">
        <v>1.0780001691879712E-2</v>
      </c>
      <c r="N59" s="36">
        <v>1.2112223040429894E-2</v>
      </c>
      <c r="O59" s="36">
        <v>1.2911410048189282E-2</v>
      </c>
      <c r="P59" s="36">
        <v>1.4660992932831615E-2</v>
      </c>
      <c r="Q59" s="36">
        <v>1.426372466723615E-2</v>
      </c>
      <c r="R59" s="36">
        <v>1.4616293499182613E-2</v>
      </c>
      <c r="S59" s="36">
        <v>1.6163144385079029E-2</v>
      </c>
      <c r="T59" s="36">
        <v>2.0200953971650271E-2</v>
      </c>
      <c r="U59" s="36">
        <v>2.323034888881282E-2</v>
      </c>
      <c r="V59" s="36">
        <v>3.2120787522500936E-2</v>
      </c>
      <c r="W59" s="36">
        <v>3.7257365113711804E-2</v>
      </c>
      <c r="X59" s="36">
        <v>3.8700838183659686E-2</v>
      </c>
      <c r="Y59" s="36">
        <v>5.2087625969027985E-3</v>
      </c>
      <c r="Z59" s="36">
        <v>1.4786775194960788E-3</v>
      </c>
      <c r="AA59" s="36">
        <v>1.3070457327434976E-3</v>
      </c>
      <c r="AB59" s="36">
        <v>1.9561878215700527E-3</v>
      </c>
      <c r="AC59" s="36">
        <v>2.5527210712496268E-3</v>
      </c>
      <c r="AD59" s="36">
        <v>3.3363582290356804E-3</v>
      </c>
      <c r="AE59" s="36">
        <v>4.3722729385876642E-3</v>
      </c>
      <c r="AF59" s="36">
        <v>5.242375246173726E-3</v>
      </c>
      <c r="AG59" s="36">
        <v>6.0445418824833404E-3</v>
      </c>
      <c r="AH59" s="36">
        <v>7.4902088457047961E-3</v>
      </c>
      <c r="AI59" s="36">
        <v>1.2215361575100125E-2</v>
      </c>
      <c r="AJ59" s="36">
        <v>2.1531618444579459E-2</v>
      </c>
      <c r="AK59" s="36">
        <v>2.5990876374719422E-2</v>
      </c>
      <c r="AL59" s="36">
        <v>2.734993161264437E-2</v>
      </c>
      <c r="AM59" s="36">
        <v>4.6486143970158175E-3</v>
      </c>
      <c r="AN59" s="36">
        <v>5.3872723555103757E-3</v>
      </c>
      <c r="AO59" s="36">
        <v>4.884635335020409E-3</v>
      </c>
      <c r="AP59" s="36">
        <v>5.6485778784479274E-3</v>
      </c>
      <c r="AQ59" s="36">
        <v>5.9938258170615629E-3</v>
      </c>
      <c r="AR59" s="36">
        <v>5.8206206571566931E-3</v>
      </c>
      <c r="AS59" s="36">
        <v>7.1406950653129086E-3</v>
      </c>
      <c r="AT59" s="36">
        <v>8.5991564079860097E-3</v>
      </c>
      <c r="AU59" s="36">
        <v>9.4670047028511516E-3</v>
      </c>
      <c r="AV59" s="36">
        <v>1.1457192598701628E-2</v>
      </c>
      <c r="AW59" s="36">
        <v>1.7385033067103872E-2</v>
      </c>
      <c r="AX59" s="36">
        <v>2.8036745487654176E-2</v>
      </c>
      <c r="AY59" s="36">
        <v>3.3069568699581546E-2</v>
      </c>
      <c r="AZ59" s="36">
        <v>3.4890483778433824E-2</v>
      </c>
      <c r="BA59" s="36">
        <v>1.3378329654864286E-3</v>
      </c>
      <c r="BB59" s="36">
        <v>1.9953085949946576E-3</v>
      </c>
      <c r="BC59" s="36">
        <v>1.9028752084987515E-3</v>
      </c>
      <c r="BD59" s="36">
        <v>2.5685312288778574E-3</v>
      </c>
      <c r="BE59" s="36">
        <v>3.0583426452518592E-3</v>
      </c>
      <c r="BF59" s="36">
        <v>3.3364876660440463E-3</v>
      </c>
      <c r="BG59" s="36">
        <v>4.9617146363510594E-3</v>
      </c>
      <c r="BH59" s="36">
        <v>6.4630631352210624E-3</v>
      </c>
      <c r="BI59" s="36">
        <v>5.4375631320971E-3</v>
      </c>
      <c r="BJ59" s="36">
        <v>7.0346256013098067E-3</v>
      </c>
      <c r="BK59" s="36">
        <v>1.3373003072727393E-2</v>
      </c>
      <c r="BL59" s="36">
        <v>2.9548624320082491E-2</v>
      </c>
      <c r="BM59" s="36">
        <v>3.5419298281751763E-2</v>
      </c>
      <c r="BN59" s="36">
        <v>3.780011972522699E-2</v>
      </c>
    </row>
    <row r="60" spans="1:66">
      <c r="A60" s="36">
        <v>0.96738976890863881</v>
      </c>
      <c r="B60" s="36">
        <v>1.3473181054676309</v>
      </c>
      <c r="C60" s="36">
        <v>1.6080107167460715</v>
      </c>
      <c r="D60" s="36">
        <v>0.31859907614120053</v>
      </c>
      <c r="E60" s="36">
        <v>2.7581272055605548</v>
      </c>
      <c r="F60" s="36">
        <v>10.649427033063716</v>
      </c>
      <c r="G60" s="36">
        <v>222.460012519727</v>
      </c>
      <c r="H60" s="36">
        <v>15118.761801621693</v>
      </c>
      <c r="I60" s="36">
        <v>1679.2803443147016</v>
      </c>
      <c r="J60" s="36">
        <v>1.2268676399384573</v>
      </c>
      <c r="K60" s="36">
        <v>1.0181069928561345E-2</v>
      </c>
      <c r="L60" s="36">
        <v>1.0740840601694519E-2</v>
      </c>
      <c r="M60" s="36">
        <v>1.0652081070990988E-2</v>
      </c>
      <c r="N60" s="36">
        <v>1.202377931466489E-2</v>
      </c>
      <c r="O60" s="36">
        <v>1.2923391361768642E-2</v>
      </c>
      <c r="P60" s="36">
        <v>1.4631532081987128E-2</v>
      </c>
      <c r="Q60" s="36">
        <v>1.4341268334151155E-2</v>
      </c>
      <c r="R60" s="36">
        <v>1.5371265196104487E-2</v>
      </c>
      <c r="S60" s="36">
        <v>1.605827107351275E-2</v>
      </c>
      <c r="T60" s="36">
        <v>1.9893065326569089E-2</v>
      </c>
      <c r="U60" s="36">
        <v>2.2684062516501593E-2</v>
      </c>
      <c r="V60" s="36">
        <v>3.152188955898038E-2</v>
      </c>
      <c r="W60" s="36">
        <v>3.6767771887523955E-2</v>
      </c>
      <c r="X60" s="36">
        <v>3.8222052862807394E-2</v>
      </c>
      <c r="Y60" s="36">
        <v>8.3059818836940047E-4</v>
      </c>
      <c r="Z60" s="36">
        <v>1.2264476805899968E-3</v>
      </c>
      <c r="AA60" s="36">
        <v>1.2353178442065329E-3</v>
      </c>
      <c r="AB60" s="36">
        <v>1.8410465577437789E-3</v>
      </c>
      <c r="AC60" s="36">
        <v>2.4641964676696978E-3</v>
      </c>
      <c r="AD60" s="36">
        <v>3.2748131823041827E-3</v>
      </c>
      <c r="AE60" s="36">
        <v>4.3262872997021605E-3</v>
      </c>
      <c r="AF60" s="36">
        <v>5.2146468625057195E-3</v>
      </c>
      <c r="AG60" s="36">
        <v>6.0224583417498641E-3</v>
      </c>
      <c r="AH60" s="36">
        <v>7.4164086845865222E-3</v>
      </c>
      <c r="AI60" s="36">
        <v>1.1988165223129574E-2</v>
      </c>
      <c r="AJ60" s="36">
        <v>2.1153860685349427E-2</v>
      </c>
      <c r="AK60" s="36">
        <v>2.5660715960842097E-2</v>
      </c>
      <c r="AL60" s="36">
        <v>2.6929345886370821E-2</v>
      </c>
      <c r="AM60" s="36">
        <v>4.8136342336379629E-3</v>
      </c>
      <c r="AN60" s="36">
        <v>5.2757080753225508E-3</v>
      </c>
      <c r="AO60" s="36">
        <v>4.8567812679927635E-3</v>
      </c>
      <c r="AP60" s="36">
        <v>5.6228039793420293E-3</v>
      </c>
      <c r="AQ60" s="36">
        <v>5.9647312387678415E-3</v>
      </c>
      <c r="AR60" s="36">
        <v>5.7742801352568505E-3</v>
      </c>
      <c r="AS60" s="36">
        <v>7.0831521455969951E-3</v>
      </c>
      <c r="AT60" s="36">
        <v>8.5553347662650769E-3</v>
      </c>
      <c r="AU60" s="36">
        <v>9.1437455658580219E-3</v>
      </c>
      <c r="AV60" s="36">
        <v>1.0942670367341778E-2</v>
      </c>
      <c r="AW60" s="36">
        <v>1.6698078307708499E-2</v>
      </c>
      <c r="AX60" s="36">
        <v>2.7406395829069057E-2</v>
      </c>
      <c r="AY60" s="36">
        <v>3.2502201072723579E-2</v>
      </c>
      <c r="AZ60" s="36">
        <v>3.4391849328709458E-2</v>
      </c>
      <c r="BA60" s="36">
        <v>8.5278902403138209E-4</v>
      </c>
      <c r="BB60" s="36">
        <v>1.5788381021213324E-3</v>
      </c>
      <c r="BC60" s="36">
        <v>1.7577866588480036E-3</v>
      </c>
      <c r="BD60" s="36">
        <v>2.4269152217831075E-3</v>
      </c>
      <c r="BE60" s="36">
        <v>2.9397241309591289E-3</v>
      </c>
      <c r="BF60" s="36">
        <v>3.2397007323763998E-3</v>
      </c>
      <c r="BG60" s="36">
        <v>4.8352404682422395E-3</v>
      </c>
      <c r="BH60" s="36">
        <v>6.320420482059377E-3</v>
      </c>
      <c r="BI60" s="36">
        <v>5.417987906723749E-3</v>
      </c>
      <c r="BJ60" s="36">
        <v>6.7846424823359364E-3</v>
      </c>
      <c r="BK60" s="36">
        <v>1.2869248751303644E-2</v>
      </c>
      <c r="BL60" s="36">
        <v>2.8866109054900533E-2</v>
      </c>
      <c r="BM60" s="36">
        <v>3.4891783952753226E-2</v>
      </c>
      <c r="BN60" s="36">
        <v>3.736885830608571E-2</v>
      </c>
    </row>
    <row r="61" spans="1:66">
      <c r="A61" s="36">
        <v>0.96489798054916742</v>
      </c>
      <c r="B61" s="36">
        <v>1.3493693529012831</v>
      </c>
      <c r="C61" s="36">
        <v>1.6130372083374185</v>
      </c>
      <c r="D61" s="36">
        <v>0.3191629396886001</v>
      </c>
      <c r="E61" s="36">
        <v>2.8001973119149346</v>
      </c>
      <c r="F61" s="36">
        <v>10.757565634081452</v>
      </c>
      <c r="G61" s="36">
        <v>224.21837089848464</v>
      </c>
      <c r="H61" s="36">
        <v>15118.758385645602</v>
      </c>
      <c r="I61" s="36">
        <v>1679.2772940395746</v>
      </c>
      <c r="J61" s="36">
        <v>1.2184360641166283</v>
      </c>
      <c r="K61" s="36">
        <v>1.1256697712275802E-2</v>
      </c>
      <c r="L61" s="36">
        <v>1.0811976806300276E-2</v>
      </c>
      <c r="M61" s="36">
        <v>1.0698488117245586E-2</v>
      </c>
      <c r="N61" s="36">
        <v>1.2028895385922365E-2</v>
      </c>
      <c r="O61" s="36">
        <v>1.2987263535477104E-2</v>
      </c>
      <c r="P61" s="36">
        <v>1.4578471278793444E-2</v>
      </c>
      <c r="Q61" s="36">
        <v>1.4233528919611277E-2</v>
      </c>
      <c r="R61" s="36">
        <v>1.5017366770422357E-2</v>
      </c>
      <c r="S61" s="36">
        <v>1.5979796246727185E-2</v>
      </c>
      <c r="T61" s="36">
        <v>1.9850533615559687E-2</v>
      </c>
      <c r="U61" s="36">
        <v>2.2798428138285975E-2</v>
      </c>
      <c r="V61" s="36">
        <v>3.1725321678091681E-2</v>
      </c>
      <c r="W61" s="36">
        <v>3.7000702555904229E-2</v>
      </c>
      <c r="X61" s="36">
        <v>3.8447916653751142E-2</v>
      </c>
      <c r="Y61" s="36">
        <v>1.2222505418472292E-3</v>
      </c>
      <c r="Z61" s="36">
        <v>1.4115822559805033E-3</v>
      </c>
      <c r="AA61" s="36">
        <v>1.275488916713619E-3</v>
      </c>
      <c r="AB61" s="36">
        <v>1.8831694861368769E-3</v>
      </c>
      <c r="AC61" s="36">
        <v>2.4980369668846734E-3</v>
      </c>
      <c r="AD61" s="36">
        <v>3.2982235901959206E-3</v>
      </c>
      <c r="AE61" s="36">
        <v>4.3426939381077667E-3</v>
      </c>
      <c r="AF61" s="36">
        <v>5.2191195614810781E-3</v>
      </c>
      <c r="AG61" s="36">
        <v>6.0111499399101657E-3</v>
      </c>
      <c r="AH61" s="36">
        <v>7.4171508161459095E-3</v>
      </c>
      <c r="AI61" s="36">
        <v>1.2005524204843495E-2</v>
      </c>
      <c r="AJ61" s="36">
        <v>2.1251511495354609E-2</v>
      </c>
      <c r="AK61" s="36">
        <v>2.579607706429991E-2</v>
      </c>
      <c r="AL61" s="36">
        <v>2.7044243713557046E-2</v>
      </c>
      <c r="AM61" s="36">
        <v>4.7762348710059885E-3</v>
      </c>
      <c r="AN61" s="36">
        <v>5.3891088835403755E-3</v>
      </c>
      <c r="AO61" s="36">
        <v>4.8808789874755726E-3</v>
      </c>
      <c r="AP61" s="36">
        <v>5.6399532018694609E-3</v>
      </c>
      <c r="AQ61" s="36">
        <v>5.9785601353718179E-3</v>
      </c>
      <c r="AR61" s="36">
        <v>5.7915996338269099E-3</v>
      </c>
      <c r="AS61" s="36">
        <v>7.0858748963626948E-3</v>
      </c>
      <c r="AT61" s="36">
        <v>8.5278128608960897E-3</v>
      </c>
      <c r="AU61" s="36">
        <v>9.2426964367153808E-3</v>
      </c>
      <c r="AV61" s="36">
        <v>1.1073556289317029E-2</v>
      </c>
      <c r="AW61" s="36">
        <v>1.6894178726355378E-2</v>
      </c>
      <c r="AX61" s="36">
        <v>2.7593773235565125E-2</v>
      </c>
      <c r="AY61" s="36">
        <v>3.2702831559989168E-2</v>
      </c>
      <c r="AZ61" s="36">
        <v>3.4581448531194083E-2</v>
      </c>
      <c r="BA61" s="36">
        <v>1.0930827606972157E-3</v>
      </c>
      <c r="BB61" s="36">
        <v>1.7960600221006619E-3</v>
      </c>
      <c r="BC61" s="36">
        <v>1.8462271382342767E-3</v>
      </c>
      <c r="BD61" s="36">
        <v>2.4830381110260134E-3</v>
      </c>
      <c r="BE61" s="36">
        <v>2.9801184520196629E-3</v>
      </c>
      <c r="BF61" s="36">
        <v>3.2770362214781575E-3</v>
      </c>
      <c r="BG61" s="36">
        <v>4.8668182015417722E-3</v>
      </c>
      <c r="BH61" s="36">
        <v>6.3379337095944939E-3</v>
      </c>
      <c r="BI61" s="36">
        <v>5.3552101373921688E-3</v>
      </c>
      <c r="BJ61" s="36">
        <v>6.7714648522690631E-3</v>
      </c>
      <c r="BK61" s="36">
        <v>1.2829914133794095E-2</v>
      </c>
      <c r="BL61" s="36">
        <v>2.8947293780343303E-2</v>
      </c>
      <c r="BM61" s="36">
        <v>3.4961694475751599E-2</v>
      </c>
      <c r="BN61" s="36">
        <v>3.7489326312651047E-2</v>
      </c>
    </row>
    <row r="62" spans="1:66">
      <c r="A62" s="36">
        <v>0.96833698950232516</v>
      </c>
      <c r="B62" s="36">
        <v>1.348027723022124</v>
      </c>
      <c r="C62" s="36">
        <v>1.6088586107915483</v>
      </c>
      <c r="D62" s="36">
        <v>0.31970515615264589</v>
      </c>
      <c r="E62" s="36">
        <v>2.8278855739221673</v>
      </c>
      <c r="F62" s="36">
        <v>10.924515815943174</v>
      </c>
      <c r="G62" s="36">
        <v>221.42214668307574</v>
      </c>
      <c r="H62" s="36">
        <v>15118.760703708014</v>
      </c>
      <c r="I62" s="36">
        <v>1679.2803230001434</v>
      </c>
      <c r="J62" s="36">
        <v>1.2399618756458255</v>
      </c>
      <c r="K62" s="36">
        <v>1.1612107193325094E-2</v>
      </c>
      <c r="L62" s="36">
        <v>1.1467125471653884E-2</v>
      </c>
      <c r="M62" s="36">
        <v>1.0619822161673391E-2</v>
      </c>
      <c r="N62" s="36">
        <v>1.1823674218144066E-2</v>
      </c>
      <c r="O62" s="36">
        <v>1.2742039129945057E-2</v>
      </c>
      <c r="P62" s="36">
        <v>1.4569271227307558E-2</v>
      </c>
      <c r="Q62" s="36">
        <v>1.4144818520528355E-2</v>
      </c>
      <c r="R62" s="36">
        <v>1.5162647893102357E-2</v>
      </c>
      <c r="S62" s="36">
        <v>1.5654209477576626E-2</v>
      </c>
      <c r="T62" s="36">
        <v>1.9272108606239124E-2</v>
      </c>
      <c r="U62" s="36">
        <v>2.185393480167035E-2</v>
      </c>
      <c r="V62" s="36">
        <v>3.0530057903200031E-2</v>
      </c>
      <c r="W62" s="36">
        <v>3.5790919379068267E-2</v>
      </c>
      <c r="X62" s="36">
        <v>3.7362807371711215E-2</v>
      </c>
      <c r="Y62" s="36">
        <v>8.9171140417900786E-4</v>
      </c>
      <c r="Z62" s="36">
        <v>1.2895000337310534E-3</v>
      </c>
      <c r="AA62" s="36">
        <v>1.2674953821355222E-3</v>
      </c>
      <c r="AB62" s="36">
        <v>1.8859458814382668E-3</v>
      </c>
      <c r="AC62" s="36">
        <v>2.493737667408093E-3</v>
      </c>
      <c r="AD62" s="36">
        <v>3.289965343811247E-3</v>
      </c>
      <c r="AE62" s="36">
        <v>4.3280246267929558E-3</v>
      </c>
      <c r="AF62" s="36">
        <v>5.1956781439190516E-3</v>
      </c>
      <c r="AG62" s="36">
        <v>5.6507139022574024E-3</v>
      </c>
      <c r="AH62" s="36">
        <v>6.8922675958446606E-3</v>
      </c>
      <c r="AI62" s="36">
        <v>1.1327611309998899E-2</v>
      </c>
      <c r="AJ62" s="36">
        <v>2.0460307758725961E-2</v>
      </c>
      <c r="AK62" s="36">
        <v>2.509785301332379E-2</v>
      </c>
      <c r="AL62" s="36">
        <v>2.6458259148986203E-2</v>
      </c>
      <c r="AM62" s="36">
        <v>4.7747894991871731E-3</v>
      </c>
      <c r="AN62" s="36">
        <v>5.5330188939980126E-3</v>
      </c>
      <c r="AO62" s="36">
        <v>4.9159135036869438E-3</v>
      </c>
      <c r="AP62" s="36">
        <v>5.6552998499700014E-3</v>
      </c>
      <c r="AQ62" s="36">
        <v>5.9851132554930879E-3</v>
      </c>
      <c r="AR62" s="36">
        <v>5.8019921576684249E-3</v>
      </c>
      <c r="AS62" s="36">
        <v>7.099342139470984E-3</v>
      </c>
      <c r="AT62" s="36">
        <v>8.5463852803086739E-3</v>
      </c>
      <c r="AU62" s="36">
        <v>8.755793203923971E-3</v>
      </c>
      <c r="AV62" s="36">
        <v>1.0367447772844623E-2</v>
      </c>
      <c r="AW62" s="36">
        <v>1.6018394568048273E-2</v>
      </c>
      <c r="AX62" s="36">
        <v>2.6499565834167002E-2</v>
      </c>
      <c r="AY62" s="36">
        <v>3.1689820680192313E-2</v>
      </c>
      <c r="AZ62" s="36">
        <v>3.3671527652883219E-2</v>
      </c>
      <c r="BA62" s="36">
        <v>1.1760581153688783E-3</v>
      </c>
      <c r="BB62" s="36">
        <v>2.0007439388366379E-3</v>
      </c>
      <c r="BC62" s="36">
        <v>1.9051357256679624E-3</v>
      </c>
      <c r="BD62" s="36">
        <v>2.5321152262582701E-3</v>
      </c>
      <c r="BE62" s="36">
        <v>3.0053140813550662E-3</v>
      </c>
      <c r="BF62" s="36">
        <v>3.2768710635275424E-3</v>
      </c>
      <c r="BG62" s="36">
        <v>4.8550937983683675E-3</v>
      </c>
      <c r="BH62" s="36">
        <v>6.3168607166165548E-3</v>
      </c>
      <c r="BI62" s="36">
        <v>4.9556786249163503E-3</v>
      </c>
      <c r="BJ62" s="36">
        <v>6.2296831376428864E-3</v>
      </c>
      <c r="BK62" s="36">
        <v>1.1992167099335163E-2</v>
      </c>
      <c r="BL62" s="36">
        <v>2.7843928957682805E-2</v>
      </c>
      <c r="BM62" s="36">
        <v>3.3946956335237588E-2</v>
      </c>
      <c r="BN62" s="36">
        <v>3.6479861774089677E-2</v>
      </c>
    </row>
    <row r="63" spans="1:66">
      <c r="A63" s="36">
        <v>0.96963482839218551</v>
      </c>
      <c r="B63" s="36">
        <v>1.3482928878801868</v>
      </c>
      <c r="C63" s="36">
        <v>1.6135646243760084</v>
      </c>
      <c r="D63" s="36">
        <v>0.31983612317006499</v>
      </c>
      <c r="E63" s="36">
        <v>2.7271680588553435</v>
      </c>
      <c r="F63" s="36">
        <v>10.675413834918251</v>
      </c>
      <c r="G63" s="36">
        <v>218.50605181861206</v>
      </c>
      <c r="H63" s="36">
        <v>15118.764352766913</v>
      </c>
      <c r="I63" s="36">
        <v>1679.2815494279932</v>
      </c>
      <c r="J63" s="36">
        <v>1.2393005949709008</v>
      </c>
      <c r="K63" s="36">
        <v>1.1283855151515414E-2</v>
      </c>
      <c r="L63" s="36">
        <v>1.1114398084440705E-2</v>
      </c>
      <c r="M63" s="36">
        <v>1.0612718961376034E-2</v>
      </c>
      <c r="N63" s="36">
        <v>1.1992759929984501E-2</v>
      </c>
      <c r="O63" s="36">
        <v>1.2831598853202921E-2</v>
      </c>
      <c r="P63" s="36">
        <v>1.4502269410600089E-2</v>
      </c>
      <c r="Q63" s="36">
        <v>1.4247181497876434E-2</v>
      </c>
      <c r="R63" s="36">
        <v>1.5726329596821277E-2</v>
      </c>
      <c r="S63" s="36">
        <v>1.6084660990684885E-2</v>
      </c>
      <c r="T63" s="36">
        <v>1.9945657445493314E-2</v>
      </c>
      <c r="U63" s="36">
        <v>2.2869122144064408E-2</v>
      </c>
      <c r="V63" s="36">
        <v>3.1577028874454079E-2</v>
      </c>
      <c r="W63" s="36">
        <v>3.6867631506196014E-2</v>
      </c>
      <c r="X63" s="36">
        <v>3.8332663436500665E-2</v>
      </c>
      <c r="Y63" s="36">
        <v>1.0085013070277916E-3</v>
      </c>
      <c r="Z63" s="36">
        <v>1.5055846148758129E-3</v>
      </c>
      <c r="AA63" s="36">
        <v>1.3020030383121472E-3</v>
      </c>
      <c r="AB63" s="36">
        <v>1.9085774693329398E-3</v>
      </c>
      <c r="AC63" s="36">
        <v>2.5323342105214286E-3</v>
      </c>
      <c r="AD63" s="36">
        <v>3.3529275167029013E-3</v>
      </c>
      <c r="AE63" s="36">
        <v>4.3837242144561034E-3</v>
      </c>
      <c r="AF63" s="36">
        <v>5.2381072095598596E-3</v>
      </c>
      <c r="AG63" s="36">
        <v>5.9165763069545674E-3</v>
      </c>
      <c r="AH63" s="36">
        <v>7.342531692953444E-3</v>
      </c>
      <c r="AI63" s="36">
        <v>1.1960741812592648E-2</v>
      </c>
      <c r="AJ63" s="36">
        <v>2.1161887438360054E-2</v>
      </c>
      <c r="AK63" s="36">
        <v>2.5701241147667482E-2</v>
      </c>
      <c r="AL63" s="36">
        <v>2.7009990765712141E-2</v>
      </c>
      <c r="AM63" s="36">
        <v>4.739706555044014E-3</v>
      </c>
      <c r="AN63" s="36">
        <v>5.3311200347404249E-3</v>
      </c>
      <c r="AO63" s="36">
        <v>4.8758688528870676E-3</v>
      </c>
      <c r="AP63" s="36">
        <v>5.6411507149983992E-3</v>
      </c>
      <c r="AQ63" s="36">
        <v>5.9857623768150015E-3</v>
      </c>
      <c r="AR63" s="36">
        <v>5.8194136898078262E-3</v>
      </c>
      <c r="AS63" s="36">
        <v>7.1368490907971274E-3</v>
      </c>
      <c r="AT63" s="36">
        <v>8.5884506923573287E-3</v>
      </c>
      <c r="AU63" s="36">
        <v>9.2256130050542406E-3</v>
      </c>
      <c r="AV63" s="36">
        <v>1.1118703999723749E-2</v>
      </c>
      <c r="AW63" s="36">
        <v>1.7087509418526776E-2</v>
      </c>
      <c r="AX63" s="36">
        <v>2.77664973435112E-2</v>
      </c>
      <c r="AY63" s="36">
        <v>3.2809006102357867E-2</v>
      </c>
      <c r="AZ63" s="36">
        <v>3.4665074214474005E-2</v>
      </c>
      <c r="BA63" s="36">
        <v>1.1939264976695255E-3</v>
      </c>
      <c r="BB63" s="36">
        <v>1.7671394855243909E-3</v>
      </c>
      <c r="BC63" s="36">
        <v>1.8326559997410357E-3</v>
      </c>
      <c r="BD63" s="36">
        <v>2.4924058726696098E-3</v>
      </c>
      <c r="BE63" s="36">
        <v>3.0005875535681734E-3</v>
      </c>
      <c r="BF63" s="36">
        <v>3.3192144755026321E-3</v>
      </c>
      <c r="BG63" s="36">
        <v>4.9040805899449383E-3</v>
      </c>
      <c r="BH63" s="36">
        <v>6.3604097172653782E-3</v>
      </c>
      <c r="BI63" s="36">
        <v>5.3417886539572131E-3</v>
      </c>
      <c r="BJ63" s="36">
        <v>6.6792342592126045E-3</v>
      </c>
      <c r="BK63" s="36">
        <v>1.2872697991067316E-2</v>
      </c>
      <c r="BL63" s="36">
        <v>2.8883131712338375E-2</v>
      </c>
      <c r="BM63" s="36">
        <v>3.483262767658464E-2</v>
      </c>
      <c r="BN63" s="36">
        <v>3.7308382580765319E-2</v>
      </c>
    </row>
    <row r="64" spans="1:66">
      <c r="A64" s="36">
        <v>0.9705031691051933</v>
      </c>
      <c r="B64" s="36">
        <v>1.3518460300295887</v>
      </c>
      <c r="C64" s="36">
        <v>1.6190113253368001</v>
      </c>
      <c r="D64" s="36">
        <v>0.32047913159939906</v>
      </c>
      <c r="E64" s="36">
        <v>2.8058292114425574</v>
      </c>
      <c r="F64" s="36">
        <v>10.734337507057521</v>
      </c>
      <c r="G64" s="36">
        <v>222.54132545298594</v>
      </c>
      <c r="H64" s="36">
        <v>15118.76142282255</v>
      </c>
      <c r="I64" s="36">
        <v>1679.2833106852534</v>
      </c>
      <c r="J64" s="36">
        <v>1.2696534470317051</v>
      </c>
      <c r="K64" s="36">
        <v>1.1181822121883605E-2</v>
      </c>
      <c r="L64" s="36">
        <v>1.0937105774453972E-2</v>
      </c>
      <c r="M64" s="36">
        <v>1.0372098555198637E-2</v>
      </c>
      <c r="N64" s="36">
        <v>1.1850651347078647E-2</v>
      </c>
      <c r="O64" s="36">
        <v>1.2760655900249053E-2</v>
      </c>
      <c r="P64" s="36">
        <v>1.440735149560075E-2</v>
      </c>
      <c r="Q64" s="36">
        <v>1.4085938773369036E-2</v>
      </c>
      <c r="R64" s="36">
        <v>1.5305350680911918E-2</v>
      </c>
      <c r="S64" s="36">
        <v>1.5888713810990832E-2</v>
      </c>
      <c r="T64" s="36">
        <v>1.9754499191655683E-2</v>
      </c>
      <c r="U64" s="36">
        <v>2.2748620552303887E-2</v>
      </c>
      <c r="V64" s="36">
        <v>3.1576038781159804E-2</v>
      </c>
      <c r="W64" s="36">
        <v>3.6835550428719048E-2</v>
      </c>
      <c r="X64" s="36">
        <v>3.8307230433891871E-2</v>
      </c>
      <c r="Y64" s="36">
        <v>1.5052469411753597E-3</v>
      </c>
      <c r="Z64" s="36">
        <v>1.6773713729906323E-3</v>
      </c>
      <c r="AA64" s="36">
        <v>1.3468527589391792E-3</v>
      </c>
      <c r="AB64" s="36">
        <v>1.9683760774415328E-3</v>
      </c>
      <c r="AC64" s="36">
        <v>2.5861934617026775E-3</v>
      </c>
      <c r="AD64" s="36">
        <v>3.3665959526337761E-3</v>
      </c>
      <c r="AE64" s="36">
        <v>4.4006505113815516E-3</v>
      </c>
      <c r="AF64" s="36">
        <v>5.2511291294716897E-3</v>
      </c>
      <c r="AG64" s="36">
        <v>6.0575821882696635E-3</v>
      </c>
      <c r="AH64" s="36">
        <v>7.4582972402687762E-3</v>
      </c>
      <c r="AI64" s="36">
        <v>1.2117564236190956E-2</v>
      </c>
      <c r="AJ64" s="36">
        <v>2.1339611532770964E-2</v>
      </c>
      <c r="AK64" s="36">
        <v>2.5890462533661108E-2</v>
      </c>
      <c r="AL64" s="36">
        <v>2.7143337149793376E-2</v>
      </c>
      <c r="AM64" s="36">
        <v>4.7389552435705374E-3</v>
      </c>
      <c r="AN64" s="36">
        <v>5.4576284810492351E-3</v>
      </c>
      <c r="AO64" s="36">
        <v>4.9022789949139042E-3</v>
      </c>
      <c r="AP64" s="36">
        <v>5.6585066022650874E-3</v>
      </c>
      <c r="AQ64" s="36">
        <v>5.9974844082759477E-3</v>
      </c>
      <c r="AR64" s="36">
        <v>5.8281391837634528E-3</v>
      </c>
      <c r="AS64" s="36">
        <v>7.1468571419877067E-3</v>
      </c>
      <c r="AT64" s="36">
        <v>8.5963149470728532E-3</v>
      </c>
      <c r="AU64" s="36">
        <v>9.3587758277092932E-3</v>
      </c>
      <c r="AV64" s="36">
        <v>1.1255363427733065E-2</v>
      </c>
      <c r="AW64" s="36">
        <v>1.7228981818937339E-2</v>
      </c>
      <c r="AX64" s="36">
        <v>2.7936234626529968E-2</v>
      </c>
      <c r="AY64" s="36">
        <v>3.2976693906821244E-2</v>
      </c>
      <c r="AZ64" s="36">
        <v>3.4811161246206451E-2</v>
      </c>
      <c r="BA64" s="36">
        <v>8.9833647087691701E-4</v>
      </c>
      <c r="BB64" s="36">
        <v>2.1441960249978117E-3</v>
      </c>
      <c r="BC64" s="36">
        <v>1.9603902832154721E-3</v>
      </c>
      <c r="BD64" s="36">
        <v>2.5797128040357473E-3</v>
      </c>
      <c r="BE64" s="36">
        <v>3.0675204628068686E-3</v>
      </c>
      <c r="BF64" s="36">
        <v>3.3516924754730532E-3</v>
      </c>
      <c r="BG64" s="36">
        <v>4.9275407636879742E-3</v>
      </c>
      <c r="BH64" s="36">
        <v>6.3730747627994263E-3</v>
      </c>
      <c r="BI64" s="36">
        <v>5.1908895181224631E-3</v>
      </c>
      <c r="BJ64" s="36">
        <v>6.6063633719108724E-3</v>
      </c>
      <c r="BK64" s="36">
        <v>1.2757895670726459E-2</v>
      </c>
      <c r="BL64" s="36">
        <v>2.8832877017383698E-2</v>
      </c>
      <c r="BM64" s="36">
        <v>3.4838428381456128E-2</v>
      </c>
      <c r="BN64" s="36">
        <v>3.7267207613721799E-2</v>
      </c>
    </row>
    <row r="65" spans="1:66">
      <c r="A65" s="36">
        <v>0.96495772811332803</v>
      </c>
      <c r="B65" s="36">
        <v>1.3453541645043354</v>
      </c>
      <c r="C65" s="36">
        <v>1.6107706630421055</v>
      </c>
      <c r="D65" s="36">
        <v>0.31859487536144027</v>
      </c>
      <c r="E65" s="36">
        <v>2.802202134690492</v>
      </c>
      <c r="F65" s="36">
        <v>10.764498091902901</v>
      </c>
      <c r="G65" s="36">
        <v>224.75026731870418</v>
      </c>
      <c r="H65" s="36">
        <v>15118.756865645855</v>
      </c>
      <c r="I65" s="36">
        <v>1679.2741507618034</v>
      </c>
      <c r="J65" s="36">
        <v>1.2298008971033654</v>
      </c>
      <c r="K65" s="36">
        <v>1.1335742352230534E-2</v>
      </c>
      <c r="L65" s="36">
        <v>1.1127172397682317E-2</v>
      </c>
      <c r="M65" s="36">
        <v>1.0865546199521528E-2</v>
      </c>
      <c r="N65" s="36">
        <v>1.2187492446371708E-2</v>
      </c>
      <c r="O65" s="36">
        <v>1.3136469696670591E-2</v>
      </c>
      <c r="P65" s="36">
        <v>1.4774927474182954E-2</v>
      </c>
      <c r="Q65" s="36">
        <v>1.4399605594822753E-2</v>
      </c>
      <c r="R65" s="36">
        <v>1.479069955279253E-2</v>
      </c>
      <c r="S65" s="36">
        <v>1.5973521547019087E-2</v>
      </c>
      <c r="T65" s="36">
        <v>1.9838215566174808E-2</v>
      </c>
      <c r="U65" s="36">
        <v>2.2705581403844644E-2</v>
      </c>
      <c r="V65" s="36">
        <v>3.173161680186979E-2</v>
      </c>
      <c r="W65" s="36">
        <v>3.6972171107762977E-2</v>
      </c>
      <c r="X65" s="36">
        <v>3.8410324924017775E-2</v>
      </c>
      <c r="Y65" s="36">
        <v>2.620305904498361E-3</v>
      </c>
      <c r="Z65" s="36">
        <v>1.4204662901541266E-3</v>
      </c>
      <c r="AA65" s="36">
        <v>1.299203832070015E-3</v>
      </c>
      <c r="AB65" s="36">
        <v>1.9107802950553969E-3</v>
      </c>
      <c r="AC65" s="36">
        <v>2.5272345497820412E-3</v>
      </c>
      <c r="AD65" s="36">
        <v>3.3090784343442802E-3</v>
      </c>
      <c r="AE65" s="36">
        <v>4.3544598529584666E-3</v>
      </c>
      <c r="AF65" s="36">
        <v>5.2385719433912193E-3</v>
      </c>
      <c r="AG65" s="36">
        <v>6.1289247165087941E-3</v>
      </c>
      <c r="AH65" s="36">
        <v>7.5859342189519268E-3</v>
      </c>
      <c r="AI65" s="36">
        <v>1.2199127952165999E-2</v>
      </c>
      <c r="AJ65" s="36">
        <v>2.1425329544550429E-2</v>
      </c>
      <c r="AK65" s="36">
        <v>2.6008218665409442E-2</v>
      </c>
      <c r="AL65" s="36">
        <v>2.7317997306617808E-2</v>
      </c>
      <c r="AM65" s="36">
        <v>4.7237094011890928E-3</v>
      </c>
      <c r="AN65" s="36">
        <v>5.2810948893428477E-3</v>
      </c>
      <c r="AO65" s="36">
        <v>4.861409106987547E-3</v>
      </c>
      <c r="AP65" s="36">
        <v>5.6321109113090656E-3</v>
      </c>
      <c r="AQ65" s="36">
        <v>5.9766588839833884E-3</v>
      </c>
      <c r="AR65" s="36">
        <v>5.7839484178247823E-3</v>
      </c>
      <c r="AS65" s="36">
        <v>7.0788700578126081E-3</v>
      </c>
      <c r="AT65" s="36">
        <v>8.5192990623294308E-3</v>
      </c>
      <c r="AU65" s="36">
        <v>9.2321091207466007E-3</v>
      </c>
      <c r="AV65" s="36">
        <v>1.1069243068979847E-2</v>
      </c>
      <c r="AW65" s="36">
        <v>1.6871913600985947E-2</v>
      </c>
      <c r="AX65" s="36">
        <v>2.7632288649451737E-2</v>
      </c>
      <c r="AY65" s="36">
        <v>3.2701090570397752E-2</v>
      </c>
      <c r="AZ65" s="36">
        <v>3.458420527762001E-2</v>
      </c>
      <c r="BA65" s="36">
        <v>1.2172911326135405E-3</v>
      </c>
      <c r="BB65" s="36">
        <v>1.6471844159010565E-3</v>
      </c>
      <c r="BC65" s="36">
        <v>1.8094499448877233E-3</v>
      </c>
      <c r="BD65" s="36">
        <v>2.4900661284166631E-3</v>
      </c>
      <c r="BE65" s="36">
        <v>2.999561468617564E-3</v>
      </c>
      <c r="BF65" s="36">
        <v>3.2981835512038492E-3</v>
      </c>
      <c r="BG65" s="36">
        <v>4.9127320350262358E-3</v>
      </c>
      <c r="BH65" s="36">
        <v>6.4072487706657881E-3</v>
      </c>
      <c r="BI65" s="36">
        <v>5.3612316416285569E-3</v>
      </c>
      <c r="BJ65" s="36">
        <v>6.8923092994030034E-3</v>
      </c>
      <c r="BK65" s="36">
        <v>1.2950747732817642E-2</v>
      </c>
      <c r="BL65" s="36">
        <v>2.9134711919079237E-2</v>
      </c>
      <c r="BM65" s="36">
        <v>3.515388405907726E-2</v>
      </c>
      <c r="BN65" s="36">
        <v>3.7630666494253888E-2</v>
      </c>
    </row>
    <row r="66" spans="1:66">
      <c r="A66" s="36">
        <v>0.96759528409240481</v>
      </c>
      <c r="B66" s="36">
        <v>1.3501385500819698</v>
      </c>
      <c r="C66" s="36">
        <v>1.6137680900594216</v>
      </c>
      <c r="D66" s="36">
        <v>0.31969528235518352</v>
      </c>
      <c r="E66" s="36">
        <v>2.7466811523242747</v>
      </c>
      <c r="F66" s="36">
        <v>10.880274646025091</v>
      </c>
      <c r="G66" s="36">
        <v>223.98023130134925</v>
      </c>
      <c r="H66" s="36">
        <v>15118.762377304487</v>
      </c>
      <c r="I66" s="36">
        <v>1679.2835698387346</v>
      </c>
      <c r="J66" s="36">
        <v>1.2806903447496158</v>
      </c>
      <c r="K66" s="36">
        <v>1.195477523710794E-2</v>
      </c>
      <c r="L66" s="36">
        <v>1.1253100745595247E-2</v>
      </c>
      <c r="M66" s="36">
        <v>1.0742919843674995E-2</v>
      </c>
      <c r="N66" s="36">
        <v>1.197558714690812E-2</v>
      </c>
      <c r="O66" s="36">
        <v>1.2888179998031983E-2</v>
      </c>
      <c r="P66" s="36">
        <v>1.4597272110243469E-2</v>
      </c>
      <c r="Q66" s="36">
        <v>1.4165703341446749E-2</v>
      </c>
      <c r="R66" s="36">
        <v>1.5562328709122483E-2</v>
      </c>
      <c r="S66" s="36">
        <v>1.5911810287825599E-2</v>
      </c>
      <c r="T66" s="36">
        <v>1.9753097144514929E-2</v>
      </c>
      <c r="U66" s="36">
        <v>2.2745557679690026E-2</v>
      </c>
      <c r="V66" s="36">
        <v>3.1494354967662536E-2</v>
      </c>
      <c r="W66" s="36">
        <v>3.6858124035662777E-2</v>
      </c>
      <c r="X66" s="36">
        <v>3.8356105810938998E-2</v>
      </c>
      <c r="Y66" s="36">
        <v>1.1502765946225194E-3</v>
      </c>
      <c r="Z66" s="36">
        <v>1.3131844197353563E-3</v>
      </c>
      <c r="AA66" s="36">
        <v>1.2577052119285422E-3</v>
      </c>
      <c r="AB66" s="36">
        <v>1.8587325855290444E-3</v>
      </c>
      <c r="AC66" s="36">
        <v>2.465681250291599E-3</v>
      </c>
      <c r="AD66" s="36">
        <v>3.2890516586860934E-3</v>
      </c>
      <c r="AE66" s="36">
        <v>4.3355873446758271E-3</v>
      </c>
      <c r="AF66" s="36">
        <v>5.1930826946615001E-3</v>
      </c>
      <c r="AG66" s="36">
        <v>5.8644739984781502E-3</v>
      </c>
      <c r="AH66" s="36">
        <v>7.254202922389168E-3</v>
      </c>
      <c r="AI66" s="36">
        <v>1.1816970180819713E-2</v>
      </c>
      <c r="AJ66" s="36">
        <v>2.1066434202094815E-2</v>
      </c>
      <c r="AK66" s="36">
        <v>2.5686988326391699E-2</v>
      </c>
      <c r="AL66" s="36">
        <v>2.7000827148406705E-2</v>
      </c>
      <c r="AM66" s="36">
        <v>4.7562679361126195E-3</v>
      </c>
      <c r="AN66" s="36">
        <v>5.483534643655359E-3</v>
      </c>
      <c r="AO66" s="36">
        <v>4.9016744123719569E-3</v>
      </c>
      <c r="AP66" s="36">
        <v>5.6438506322507012E-3</v>
      </c>
      <c r="AQ66" s="36">
        <v>5.975660062249432E-3</v>
      </c>
      <c r="AR66" s="36">
        <v>5.7979433310839986E-3</v>
      </c>
      <c r="AS66" s="36">
        <v>7.0926848382809968E-3</v>
      </c>
      <c r="AT66" s="36">
        <v>8.5379082077699613E-3</v>
      </c>
      <c r="AU66" s="36">
        <v>9.2801336487798296E-3</v>
      </c>
      <c r="AV66" s="36">
        <v>1.1125667644244573E-2</v>
      </c>
      <c r="AW66" s="36">
        <v>1.7022362081004883E-2</v>
      </c>
      <c r="AX66" s="36">
        <v>2.7593110363709421E-2</v>
      </c>
      <c r="AY66" s="36">
        <v>3.2702188971945947E-2</v>
      </c>
      <c r="AZ66" s="36">
        <v>3.4490758857251939E-2</v>
      </c>
      <c r="BA66" s="36">
        <v>8.4500423522141581E-4</v>
      </c>
      <c r="BB66" s="36">
        <v>2.0960896669924246E-3</v>
      </c>
      <c r="BC66" s="36">
        <v>1.9208362625439633E-3</v>
      </c>
      <c r="BD66" s="36">
        <v>2.496595548751473E-3</v>
      </c>
      <c r="BE66" s="36">
        <v>2.9882029976919505E-3</v>
      </c>
      <c r="BF66" s="36">
        <v>3.281108326580465E-3</v>
      </c>
      <c r="BG66" s="36">
        <v>4.8411094808746679E-3</v>
      </c>
      <c r="BH66" s="36">
        <v>6.2815885547124533E-3</v>
      </c>
      <c r="BI66" s="36">
        <v>5.2228042649135617E-3</v>
      </c>
      <c r="BJ66" s="36">
        <v>6.5346660465067314E-3</v>
      </c>
      <c r="BK66" s="36">
        <v>1.2654810242988779E-2</v>
      </c>
      <c r="BL66" s="36">
        <v>2.8740745381309031E-2</v>
      </c>
      <c r="BM66" s="36">
        <v>3.4752133179922047E-2</v>
      </c>
      <c r="BN66" s="36">
        <v>3.728022953398584E-2</v>
      </c>
    </row>
    <row r="67" spans="1:66">
      <c r="A67" s="36">
        <v>0.96989477805351465</v>
      </c>
      <c r="B67" s="36">
        <v>1.3501981438698649</v>
      </c>
      <c r="C67" s="36">
        <v>1.6211215322047035</v>
      </c>
      <c r="D67" s="36">
        <v>0.32089191828811264</v>
      </c>
      <c r="E67" s="36">
        <v>2.7732489874770732</v>
      </c>
      <c r="F67" s="36">
        <v>10.930401968425565</v>
      </c>
      <c r="G67" s="36">
        <v>224.24500674360328</v>
      </c>
      <c r="H67" s="36">
        <v>15118.762967364777</v>
      </c>
      <c r="I67" s="36">
        <v>1679.2804194183427</v>
      </c>
      <c r="J67" s="36">
        <v>1.2460735474099602</v>
      </c>
      <c r="K67" s="36">
        <v>1.1167450057105083E-2</v>
      </c>
      <c r="L67" s="36">
        <v>1.1063342922100313E-2</v>
      </c>
      <c r="M67" s="36">
        <v>1.0733797992576928E-2</v>
      </c>
      <c r="N67" s="36">
        <v>1.2080594200079986E-2</v>
      </c>
      <c r="O67" s="36">
        <v>1.2998402728783663E-2</v>
      </c>
      <c r="P67" s="36">
        <v>1.4694636135766591E-2</v>
      </c>
      <c r="Q67" s="36">
        <v>1.432525523027277E-2</v>
      </c>
      <c r="R67" s="36">
        <v>1.5428017293894303E-2</v>
      </c>
      <c r="S67" s="36">
        <v>1.6192456836228566E-2</v>
      </c>
      <c r="T67" s="36">
        <v>2.020332053419412E-2</v>
      </c>
      <c r="U67" s="36">
        <v>2.3302568849319315E-2</v>
      </c>
      <c r="V67" s="36">
        <v>3.22959904446629E-2</v>
      </c>
      <c r="W67" s="36">
        <v>3.7577802691081449E-2</v>
      </c>
      <c r="X67" s="36">
        <v>3.8986887700176102E-2</v>
      </c>
      <c r="Y67" s="36">
        <v>1.4797613895734642E-3</v>
      </c>
      <c r="Z67" s="36">
        <v>1.3464916815856098E-3</v>
      </c>
      <c r="AA67" s="36">
        <v>1.269236918218607E-3</v>
      </c>
      <c r="AB67" s="36">
        <v>1.8651828067280344E-3</v>
      </c>
      <c r="AC67" s="36">
        <v>2.4860331128285233E-3</v>
      </c>
      <c r="AD67" s="36">
        <v>3.3164970795094778E-3</v>
      </c>
      <c r="AE67" s="36">
        <v>4.3421154645173401E-3</v>
      </c>
      <c r="AF67" s="36">
        <v>5.2293840455023971E-3</v>
      </c>
      <c r="AG67" s="36">
        <v>6.1146479951266633E-3</v>
      </c>
      <c r="AH67" s="36">
        <v>7.6815815448899299E-3</v>
      </c>
      <c r="AI67" s="36">
        <v>1.2389871054342453E-2</v>
      </c>
      <c r="AJ67" s="36">
        <v>2.1616004155542365E-2</v>
      </c>
      <c r="AK67" s="36">
        <v>2.6077635601264901E-2</v>
      </c>
      <c r="AL67" s="36">
        <v>2.7422684381336673E-2</v>
      </c>
      <c r="AM67" s="36">
        <v>4.8112546938073467E-3</v>
      </c>
      <c r="AN67" s="36">
        <v>5.1543019402629543E-3</v>
      </c>
      <c r="AO67" s="36">
        <v>4.830470621800846E-3</v>
      </c>
      <c r="AP67" s="36">
        <v>5.6117134161017424E-3</v>
      </c>
      <c r="AQ67" s="36">
        <v>5.9605861761093636E-3</v>
      </c>
      <c r="AR67" s="36">
        <v>5.789976639667101E-3</v>
      </c>
      <c r="AS67" s="36">
        <v>7.0983017038183252E-3</v>
      </c>
      <c r="AT67" s="36">
        <v>8.5513228429612599E-3</v>
      </c>
      <c r="AU67" s="36">
        <v>9.4630750569257346E-3</v>
      </c>
      <c r="AV67" s="36">
        <v>1.1381235286070181E-2</v>
      </c>
      <c r="AW67" s="36">
        <v>1.7320103402795786E-2</v>
      </c>
      <c r="AX67" s="36">
        <v>2.8059494249384219E-2</v>
      </c>
      <c r="AY67" s="36">
        <v>3.3034756127965512E-2</v>
      </c>
      <c r="AZ67" s="36">
        <v>3.4752141112011997E-2</v>
      </c>
      <c r="BA67" s="36">
        <v>7.9304871778655814E-4</v>
      </c>
      <c r="BB67" s="36">
        <v>1.4341285179017907E-3</v>
      </c>
      <c r="BC67" s="36">
        <v>1.7215805899295125E-3</v>
      </c>
      <c r="BD67" s="36">
        <v>2.4097502032121433E-3</v>
      </c>
      <c r="BE67" s="36">
        <v>2.9451832299351305E-3</v>
      </c>
      <c r="BF67" s="36">
        <v>3.2858262157911679E-3</v>
      </c>
      <c r="BG67" s="36">
        <v>4.8794942489922711E-3</v>
      </c>
      <c r="BH67" s="36">
        <v>6.350377019350496E-3</v>
      </c>
      <c r="BI67" s="36">
        <v>5.5881144684318991E-3</v>
      </c>
      <c r="BJ67" s="36">
        <v>7.0904680509020586E-3</v>
      </c>
      <c r="BK67" s="36">
        <v>1.3408471503741037E-2</v>
      </c>
      <c r="BL67" s="36">
        <v>2.9633336351784025E-2</v>
      </c>
      <c r="BM67" s="36">
        <v>3.5494430344560873E-2</v>
      </c>
      <c r="BN67" s="36">
        <v>3.7946652718688807E-2</v>
      </c>
    </row>
    <row r="68" spans="1:66">
      <c r="A68" s="36">
        <v>0.97025175304711475</v>
      </c>
      <c r="B68" s="36">
        <v>1.3450711927982064</v>
      </c>
      <c r="C68" s="36">
        <v>1.6111256415825126</v>
      </c>
      <c r="D68" s="36">
        <v>0.31867696182334249</v>
      </c>
      <c r="E68" s="36">
        <v>2.7984784581438653</v>
      </c>
      <c r="F68" s="36">
        <v>10.626483707403564</v>
      </c>
      <c r="G68" s="36">
        <v>223.83587051060363</v>
      </c>
      <c r="H68" s="36">
        <v>15118.76083900491</v>
      </c>
      <c r="I68" s="36">
        <v>1679.2806500342983</v>
      </c>
      <c r="J68" s="36">
        <v>1.2336922807489279</v>
      </c>
      <c r="K68" s="36">
        <v>1.0346563646733867E-2</v>
      </c>
      <c r="L68" s="36">
        <v>1.0855110403765878E-2</v>
      </c>
      <c r="M68" s="36">
        <v>1.0412507306247482E-2</v>
      </c>
      <c r="N68" s="36">
        <v>1.181130893287939E-2</v>
      </c>
      <c r="O68" s="36">
        <v>1.2739902278987979E-2</v>
      </c>
      <c r="P68" s="36">
        <v>1.4484935641900738E-2</v>
      </c>
      <c r="Q68" s="36">
        <v>1.4167112758942545E-2</v>
      </c>
      <c r="R68" s="36">
        <v>1.563839601275217E-2</v>
      </c>
      <c r="S68" s="36">
        <v>1.5811901110475299E-2</v>
      </c>
      <c r="T68" s="36">
        <v>1.9526295756489658E-2</v>
      </c>
      <c r="U68" s="36">
        <v>2.2203763781870015E-2</v>
      </c>
      <c r="V68" s="36">
        <v>3.0899272950463932E-2</v>
      </c>
      <c r="W68" s="36">
        <v>3.6202536345039123E-2</v>
      </c>
      <c r="X68" s="36">
        <v>3.7781300917677951E-2</v>
      </c>
      <c r="Y68" s="36">
        <v>6.6238096690819897E-4</v>
      </c>
      <c r="Z68" s="36">
        <v>1.4048589359971291E-3</v>
      </c>
      <c r="AA68" s="36">
        <v>1.2909177663229902E-3</v>
      </c>
      <c r="AB68" s="36">
        <v>1.8791828466868212E-3</v>
      </c>
      <c r="AC68" s="36">
        <v>2.5309201408209871E-3</v>
      </c>
      <c r="AD68" s="36">
        <v>3.3081898750872982E-3</v>
      </c>
      <c r="AE68" s="36">
        <v>4.3517973399696463E-3</v>
      </c>
      <c r="AF68" s="36">
        <v>5.206818414189106E-3</v>
      </c>
      <c r="AG68" s="36">
        <v>5.704437612879038E-3</v>
      </c>
      <c r="AH68" s="36">
        <v>7.0125640266057582E-3</v>
      </c>
      <c r="AI68" s="36">
        <v>1.148180567103955E-2</v>
      </c>
      <c r="AJ68" s="36">
        <v>2.0590998586441547E-2</v>
      </c>
      <c r="AK68" s="36">
        <v>2.5241457553783205E-2</v>
      </c>
      <c r="AL68" s="36">
        <v>2.6587209021906272E-2</v>
      </c>
      <c r="AM68" s="36">
        <v>4.7997768829377042E-3</v>
      </c>
      <c r="AN68" s="36">
        <v>5.4856811270433039E-3</v>
      </c>
      <c r="AO68" s="36">
        <v>4.9099476389779916E-3</v>
      </c>
      <c r="AP68" s="36">
        <v>5.6536801038869636E-3</v>
      </c>
      <c r="AQ68" s="36">
        <v>5.9926219919168213E-3</v>
      </c>
      <c r="AR68" s="36">
        <v>5.808134301380022E-3</v>
      </c>
      <c r="AS68" s="36">
        <v>7.1089787377815435E-3</v>
      </c>
      <c r="AT68" s="36">
        <v>8.5535982780120066E-3</v>
      </c>
      <c r="AU68" s="36">
        <v>8.791469896728573E-3</v>
      </c>
      <c r="AV68" s="36">
        <v>1.0482269112264346E-2</v>
      </c>
      <c r="AW68" s="36">
        <v>1.6249668089765461E-2</v>
      </c>
      <c r="AX68" s="36">
        <v>2.6907908734396704E-2</v>
      </c>
      <c r="AY68" s="36">
        <v>3.2019888915589045E-2</v>
      </c>
      <c r="AZ68" s="36">
        <v>3.3982422647840162E-2</v>
      </c>
      <c r="BA68" s="36">
        <v>1.2053566203766651E-3</v>
      </c>
      <c r="BB68" s="36">
        <v>1.9208137061178681E-3</v>
      </c>
      <c r="BC68" s="36">
        <v>1.8825686633292453E-3</v>
      </c>
      <c r="BD68" s="36">
        <v>2.4989879967896931E-3</v>
      </c>
      <c r="BE68" s="36">
        <v>2.9969961748306782E-3</v>
      </c>
      <c r="BF68" s="36">
        <v>3.2961388280505067E-3</v>
      </c>
      <c r="BG68" s="36">
        <v>4.8805256492304751E-3</v>
      </c>
      <c r="BH68" s="36">
        <v>6.3433218482602917E-3</v>
      </c>
      <c r="BI68" s="36">
        <v>4.9893392793447693E-3</v>
      </c>
      <c r="BJ68" s="36">
        <v>6.3053553426096684E-3</v>
      </c>
      <c r="BK68" s="36">
        <v>1.2176486245543417E-2</v>
      </c>
      <c r="BL68" s="36">
        <v>2.8160117596830812E-2</v>
      </c>
      <c r="BM68" s="36">
        <v>3.4376517299011811E-2</v>
      </c>
      <c r="BN68" s="36">
        <v>3.6921730096110245E-2</v>
      </c>
    </row>
    <row r="69" spans="1:66">
      <c r="A69" s="36">
        <v>0.97129803044003094</v>
      </c>
      <c r="B69" s="36">
        <v>1.3499609790536973</v>
      </c>
      <c r="C69" s="36">
        <v>1.6186468821873643</v>
      </c>
      <c r="D69" s="36">
        <v>0.32051838039024078</v>
      </c>
      <c r="E69" s="36">
        <v>2.8120485150205079</v>
      </c>
      <c r="F69" s="36">
        <v>10.906729755282852</v>
      </c>
      <c r="G69" s="36">
        <v>225.12536855617648</v>
      </c>
      <c r="H69" s="36">
        <v>15118.758228946894</v>
      </c>
      <c r="I69" s="36">
        <v>1679.277190547193</v>
      </c>
      <c r="J69" s="36">
        <v>1.2293287845788285</v>
      </c>
      <c r="K69" s="36">
        <v>1.1429566092788874E-2</v>
      </c>
      <c r="L69" s="36">
        <v>1.1068019089873728E-2</v>
      </c>
      <c r="M69" s="36">
        <v>1.0558553063827724E-2</v>
      </c>
      <c r="N69" s="36">
        <v>1.1845970114536817E-2</v>
      </c>
      <c r="O69" s="36">
        <v>1.2823066582677024E-2</v>
      </c>
      <c r="P69" s="36">
        <v>1.4618929192811428E-2</v>
      </c>
      <c r="Q69" s="36">
        <v>1.4126029506865152E-2</v>
      </c>
      <c r="R69" s="36">
        <v>1.5886069784501456E-2</v>
      </c>
      <c r="S69" s="36">
        <v>1.6076112411843542E-2</v>
      </c>
      <c r="T69" s="36">
        <v>1.9985941864858327E-2</v>
      </c>
      <c r="U69" s="36">
        <v>2.2940816923811679E-2</v>
      </c>
      <c r="V69" s="36">
        <v>3.1845084806372527E-2</v>
      </c>
      <c r="W69" s="36">
        <v>3.7096229068920149E-2</v>
      </c>
      <c r="X69" s="36">
        <v>3.8634625988400395E-2</v>
      </c>
      <c r="Y69" s="36">
        <v>1.4869217297468363E-3</v>
      </c>
      <c r="Z69" s="36">
        <v>1.3681899778421542E-3</v>
      </c>
      <c r="AA69" s="36">
        <v>1.2816072001687242E-3</v>
      </c>
      <c r="AB69" s="36">
        <v>1.9021919267712944E-3</v>
      </c>
      <c r="AC69" s="36">
        <v>2.5026425999443162E-3</v>
      </c>
      <c r="AD69" s="36">
        <v>3.3134383945528081E-3</v>
      </c>
      <c r="AE69" s="36">
        <v>4.3437814859052038E-3</v>
      </c>
      <c r="AF69" s="36">
        <v>5.2134934171210378E-3</v>
      </c>
      <c r="AG69" s="36">
        <v>5.9564284241566635E-3</v>
      </c>
      <c r="AH69" s="36">
        <v>7.3197743317925832E-3</v>
      </c>
      <c r="AI69" s="36">
        <v>1.1862370450721331E-2</v>
      </c>
      <c r="AJ69" s="36">
        <v>2.0985544328534118E-2</v>
      </c>
      <c r="AK69" s="36">
        <v>2.5546382994297092E-2</v>
      </c>
      <c r="AL69" s="36">
        <v>2.6884705804173101E-2</v>
      </c>
      <c r="AM69" s="36">
        <v>4.7310571678279966E-3</v>
      </c>
      <c r="AN69" s="36">
        <v>5.3900182440204175E-3</v>
      </c>
      <c r="AO69" s="36">
        <v>4.8832067015374793E-3</v>
      </c>
      <c r="AP69" s="36">
        <v>5.6390446489047201E-3</v>
      </c>
      <c r="AQ69" s="36">
        <v>5.9766362160866846E-3</v>
      </c>
      <c r="AR69" s="36">
        <v>5.8031220333816108E-3</v>
      </c>
      <c r="AS69" s="36">
        <v>7.0913923913765798E-3</v>
      </c>
      <c r="AT69" s="36">
        <v>8.5190122349550167E-3</v>
      </c>
      <c r="AU69" s="36">
        <v>9.1420184880377196E-3</v>
      </c>
      <c r="AV69" s="36">
        <v>1.0876131406838388E-2</v>
      </c>
      <c r="AW69" s="36">
        <v>1.6641370909958996E-2</v>
      </c>
      <c r="AX69" s="36">
        <v>2.7382594157045345E-2</v>
      </c>
      <c r="AY69" s="36">
        <v>3.2539247823624842E-2</v>
      </c>
      <c r="AZ69" s="36">
        <v>3.4475340754131077E-2</v>
      </c>
      <c r="BA69" s="36">
        <v>1.3577291294397684E-3</v>
      </c>
      <c r="BB69" s="36">
        <v>1.8675500984897762E-3</v>
      </c>
      <c r="BC69" s="36">
        <v>1.8679946814463826E-3</v>
      </c>
      <c r="BD69" s="36">
        <v>2.5114121328899449E-3</v>
      </c>
      <c r="BE69" s="36">
        <v>2.9797434216987302E-3</v>
      </c>
      <c r="BF69" s="36">
        <v>3.3053695452206701E-3</v>
      </c>
      <c r="BG69" s="36">
        <v>4.8763567979197998E-3</v>
      </c>
      <c r="BH69" s="36">
        <v>6.3213211648788263E-3</v>
      </c>
      <c r="BI69" s="36">
        <v>5.3874452781825007E-3</v>
      </c>
      <c r="BJ69" s="36">
        <v>6.7997626164652252E-3</v>
      </c>
      <c r="BK69" s="36">
        <v>1.2927508947485518E-2</v>
      </c>
      <c r="BL69" s="36">
        <v>2.9033213508041198E-2</v>
      </c>
      <c r="BM69" s="36">
        <v>3.5036970680833168E-2</v>
      </c>
      <c r="BN69" s="36">
        <v>3.7557313464728688E-2</v>
      </c>
    </row>
    <row r="70" spans="1:66">
      <c r="A70" s="36">
        <v>0.96857590262665683</v>
      </c>
      <c r="B70" s="36">
        <v>1.3450873052352754</v>
      </c>
      <c r="C70" s="36">
        <v>1.6093644639447484</v>
      </c>
      <c r="D70" s="36">
        <v>0.31838971057614107</v>
      </c>
      <c r="E70" s="36">
        <v>2.7601493765702254</v>
      </c>
      <c r="F70" s="36">
        <v>10.749077415616803</v>
      </c>
      <c r="G70" s="36">
        <v>219.80693402338838</v>
      </c>
      <c r="H70" s="36">
        <v>15118.760938498963</v>
      </c>
      <c r="I70" s="36">
        <v>1679.2805372952826</v>
      </c>
      <c r="J70" s="36">
        <v>1.2369768639273242</v>
      </c>
      <c r="K70" s="36">
        <v>1.1284075336466054E-2</v>
      </c>
      <c r="L70" s="36">
        <v>1.1232471723706328E-2</v>
      </c>
      <c r="M70" s="36">
        <v>1.082866568238228E-2</v>
      </c>
      <c r="N70" s="36">
        <v>1.2153741722857733E-2</v>
      </c>
      <c r="O70" s="36">
        <v>1.3011346350585854E-2</v>
      </c>
      <c r="P70" s="36">
        <v>1.4788339630148478E-2</v>
      </c>
      <c r="Q70" s="36">
        <v>1.4328283078539124E-2</v>
      </c>
      <c r="R70" s="36">
        <v>1.5715945870352362E-2</v>
      </c>
      <c r="S70" s="36">
        <v>1.6124363262065639E-2</v>
      </c>
      <c r="T70" s="36">
        <v>2.0059115728713588E-2</v>
      </c>
      <c r="U70" s="36">
        <v>2.2935894506842459E-2</v>
      </c>
      <c r="V70" s="36">
        <v>3.1787313874896646E-2</v>
      </c>
      <c r="W70" s="36">
        <v>3.7066802222604077E-2</v>
      </c>
      <c r="X70" s="36">
        <v>3.8528606686531908E-2</v>
      </c>
      <c r="Y70" s="36">
        <v>3.1136849172230413E-3</v>
      </c>
      <c r="Z70" s="36">
        <v>1.543857127548968E-3</v>
      </c>
      <c r="AA70" s="36">
        <v>1.3194199215856245E-3</v>
      </c>
      <c r="AB70" s="36">
        <v>1.9400623397493892E-3</v>
      </c>
      <c r="AC70" s="36">
        <v>2.5770705327837979E-3</v>
      </c>
      <c r="AD70" s="36">
        <v>3.3533351796400448E-3</v>
      </c>
      <c r="AE70" s="36">
        <v>4.4033298554934444E-3</v>
      </c>
      <c r="AF70" s="36">
        <v>5.2485024172529019E-3</v>
      </c>
      <c r="AG70" s="36">
        <v>6.083358879363579E-3</v>
      </c>
      <c r="AH70" s="36">
        <v>7.4993756839536879E-3</v>
      </c>
      <c r="AI70" s="36">
        <v>1.2100876066078622E-2</v>
      </c>
      <c r="AJ70" s="36">
        <v>2.1208760604163764E-2</v>
      </c>
      <c r="AK70" s="36">
        <v>2.5810036066210563E-2</v>
      </c>
      <c r="AL70" s="36">
        <v>2.7026235904896851E-2</v>
      </c>
      <c r="AM70" s="36">
        <v>4.5800561217658031E-3</v>
      </c>
      <c r="AN70" s="36">
        <v>5.3814087022249959E-3</v>
      </c>
      <c r="AO70" s="36">
        <v>4.8855385626881773E-3</v>
      </c>
      <c r="AP70" s="36">
        <v>5.64690374435102E-3</v>
      </c>
      <c r="AQ70" s="36">
        <v>5.9999452342341386E-3</v>
      </c>
      <c r="AR70" s="36">
        <v>5.8096003256147312E-3</v>
      </c>
      <c r="AS70" s="36">
        <v>7.1135002103989249E-3</v>
      </c>
      <c r="AT70" s="36">
        <v>8.5551786002229912E-3</v>
      </c>
      <c r="AU70" s="36">
        <v>9.1529827632296501E-3</v>
      </c>
      <c r="AV70" s="36">
        <v>1.1058017455453477E-2</v>
      </c>
      <c r="AW70" s="36">
        <v>1.6995237130294934E-2</v>
      </c>
      <c r="AX70" s="36">
        <v>2.7732680520209253E-2</v>
      </c>
      <c r="AY70" s="36">
        <v>3.2790419134465135E-2</v>
      </c>
      <c r="AZ70" s="36">
        <v>3.4672593149274247E-2</v>
      </c>
      <c r="BA70" s="36">
        <v>2.1705195631805695E-3</v>
      </c>
      <c r="BB70" s="36">
        <v>2.0307655591519334E-3</v>
      </c>
      <c r="BC70" s="36">
        <v>1.9095258590204327E-3</v>
      </c>
      <c r="BD70" s="36">
        <v>2.5521668912830055E-3</v>
      </c>
      <c r="BE70" s="36">
        <v>3.0597558875735688E-3</v>
      </c>
      <c r="BF70" s="36">
        <v>3.3348519354501963E-3</v>
      </c>
      <c r="BG70" s="36">
        <v>4.9441631883465169E-3</v>
      </c>
      <c r="BH70" s="36">
        <v>6.4286472309539218E-3</v>
      </c>
      <c r="BI70" s="36">
        <v>5.400291575645655E-3</v>
      </c>
      <c r="BJ70" s="36">
        <v>6.8254574827776027E-3</v>
      </c>
      <c r="BK70" s="36">
        <v>1.3042537599921212E-2</v>
      </c>
      <c r="BL70" s="36">
        <v>2.9187397527899044E-2</v>
      </c>
      <c r="BM70" s="36">
        <v>3.5140477013568532E-2</v>
      </c>
      <c r="BN70" s="36">
        <v>3.7633496548919981E-2</v>
      </c>
    </row>
    <row r="71" spans="1:66">
      <c r="A71" s="36">
        <v>0.96657963382902035</v>
      </c>
      <c r="B71" s="36">
        <v>1.3494346019432664</v>
      </c>
      <c r="C71" s="36">
        <v>1.613854220145704</v>
      </c>
      <c r="D71" s="36">
        <v>0.31956723973758722</v>
      </c>
      <c r="E71" s="36">
        <v>2.7548912915375827</v>
      </c>
      <c r="F71" s="36">
        <v>10.691020864707321</v>
      </c>
      <c r="G71" s="36">
        <v>219.68890723118855</v>
      </c>
      <c r="H71" s="36">
        <v>15118.767545183915</v>
      </c>
      <c r="I71" s="36">
        <v>1679.286213951226</v>
      </c>
      <c r="J71" s="36">
        <v>1.2727399302649773</v>
      </c>
      <c r="K71" s="36">
        <v>1.1088454158461204E-2</v>
      </c>
      <c r="L71" s="36">
        <v>1.0482935803990314E-2</v>
      </c>
      <c r="M71" s="36">
        <v>1.0643252249449326E-2</v>
      </c>
      <c r="N71" s="36">
        <v>1.1941872827454042E-2</v>
      </c>
      <c r="O71" s="36">
        <v>1.2776101250971585E-2</v>
      </c>
      <c r="P71" s="36">
        <v>1.4320218535254118E-2</v>
      </c>
      <c r="Q71" s="36">
        <v>1.4061899877709925E-2</v>
      </c>
      <c r="R71" s="36">
        <v>1.552455672844248E-2</v>
      </c>
      <c r="S71" s="36">
        <v>1.6105584002570256E-2</v>
      </c>
      <c r="T71" s="36">
        <v>2.0054763162157076E-2</v>
      </c>
      <c r="U71" s="36">
        <v>2.3186235451934711E-2</v>
      </c>
      <c r="V71" s="36">
        <v>3.1946129095380943E-2</v>
      </c>
      <c r="W71" s="36">
        <v>3.7308694480133818E-2</v>
      </c>
      <c r="X71" s="36">
        <v>3.8793090714189488E-2</v>
      </c>
      <c r="Y71" s="36">
        <v>7.849468508776302E-4</v>
      </c>
      <c r="Z71" s="36">
        <v>1.1806724875975533E-3</v>
      </c>
      <c r="AA71" s="36">
        <v>1.203127037277342E-3</v>
      </c>
      <c r="AB71" s="36">
        <v>1.7904213280900904E-3</v>
      </c>
      <c r="AC71" s="36">
        <v>2.4157755494790788E-3</v>
      </c>
      <c r="AD71" s="36">
        <v>3.2380517765605078E-3</v>
      </c>
      <c r="AE71" s="36">
        <v>4.3155069281948892E-3</v>
      </c>
      <c r="AF71" s="36">
        <v>5.1736146310792088E-3</v>
      </c>
      <c r="AG71" s="36">
        <v>6.0077349804220012E-3</v>
      </c>
      <c r="AH71" s="36">
        <v>7.4482248105054863E-3</v>
      </c>
      <c r="AI71" s="36">
        <v>1.2087905811672536E-2</v>
      </c>
      <c r="AJ71" s="36">
        <v>2.1383323646622272E-2</v>
      </c>
      <c r="AK71" s="36">
        <v>2.5836600186922069E-2</v>
      </c>
      <c r="AL71" s="36">
        <v>2.7201894931916906E-2</v>
      </c>
      <c r="AM71" s="36">
        <v>4.7989568427270557E-3</v>
      </c>
      <c r="AN71" s="36">
        <v>5.4244391715842222E-3</v>
      </c>
      <c r="AO71" s="36">
        <v>4.8833265270317649E-3</v>
      </c>
      <c r="AP71" s="36">
        <v>5.6276732723524328E-3</v>
      </c>
      <c r="AQ71" s="36">
        <v>5.9654105610675951E-3</v>
      </c>
      <c r="AR71" s="36">
        <v>5.7571972568061878E-3</v>
      </c>
      <c r="AS71" s="36">
        <v>7.0324310375550246E-3</v>
      </c>
      <c r="AT71" s="36">
        <v>8.4761835028107219E-3</v>
      </c>
      <c r="AU71" s="36">
        <v>9.3085315624196526E-3</v>
      </c>
      <c r="AV71" s="36">
        <v>1.130389470586732E-2</v>
      </c>
      <c r="AW71" s="36">
        <v>1.732512203849499E-2</v>
      </c>
      <c r="AX71" s="36">
        <v>2.8029666848021498E-2</v>
      </c>
      <c r="AY71" s="36">
        <v>3.3197554657715192E-2</v>
      </c>
      <c r="AZ71" s="36">
        <v>3.5009657110578303E-2</v>
      </c>
      <c r="BA71" s="36">
        <v>8.9980889923680035E-4</v>
      </c>
      <c r="BB71" s="36">
        <v>1.9004055533391206E-3</v>
      </c>
      <c r="BC71" s="36">
        <v>1.8408418113406962E-3</v>
      </c>
      <c r="BD71" s="36">
        <v>2.4113856778645911E-3</v>
      </c>
      <c r="BE71" s="36">
        <v>2.9332221339020553E-3</v>
      </c>
      <c r="BF71" s="36">
        <v>3.2277347955909749E-3</v>
      </c>
      <c r="BG71" s="36">
        <v>4.8102622328666175E-3</v>
      </c>
      <c r="BH71" s="36">
        <v>6.2840712550478132E-3</v>
      </c>
      <c r="BI71" s="36">
        <v>5.4641464359643909E-3</v>
      </c>
      <c r="BJ71" s="36">
        <v>6.8490081298516877E-3</v>
      </c>
      <c r="BK71" s="36">
        <v>1.311355963852307E-2</v>
      </c>
      <c r="BL71" s="36">
        <v>2.921909515541514E-2</v>
      </c>
      <c r="BM71" s="36">
        <v>3.5176021104297676E-2</v>
      </c>
      <c r="BN71" s="36">
        <v>3.7655633997871932E-2</v>
      </c>
    </row>
    <row r="72" spans="1:66">
      <c r="A72" s="36">
        <v>0.96301348015031196</v>
      </c>
      <c r="B72" s="36">
        <v>1.347681363165532</v>
      </c>
      <c r="C72" s="36">
        <v>1.6000491796958975</v>
      </c>
      <c r="D72" s="36">
        <v>0.31859873100302605</v>
      </c>
      <c r="E72" s="36">
        <v>2.7524790387471927</v>
      </c>
      <c r="F72" s="36">
        <v>10.43341301595933</v>
      </c>
      <c r="G72" s="36">
        <v>223.4009444073985</v>
      </c>
      <c r="H72" s="36">
        <v>15118.757225883799</v>
      </c>
      <c r="I72" s="36">
        <v>1679.274412279962</v>
      </c>
      <c r="J72" s="36">
        <v>1.2149746826949275</v>
      </c>
      <c r="K72" s="36">
        <v>1.0588229438443729E-2</v>
      </c>
      <c r="L72" s="36">
        <v>1.035361884726938E-2</v>
      </c>
      <c r="M72" s="36">
        <v>1.0379546270022424E-2</v>
      </c>
      <c r="N72" s="36">
        <v>1.1715268456599407E-2</v>
      </c>
      <c r="O72" s="36">
        <v>1.263027817733515E-2</v>
      </c>
      <c r="P72" s="36">
        <v>1.4230932048595409E-2</v>
      </c>
      <c r="Q72" s="36">
        <v>1.4062653146563854E-2</v>
      </c>
      <c r="R72" s="36">
        <v>1.553500505452491E-2</v>
      </c>
      <c r="S72" s="36">
        <v>1.5894984008762488E-2</v>
      </c>
      <c r="T72" s="36">
        <v>1.9672740787542286E-2</v>
      </c>
      <c r="U72" s="36">
        <v>2.2546814030383968E-2</v>
      </c>
      <c r="V72" s="36">
        <v>3.1382770731960379E-2</v>
      </c>
      <c r="W72" s="36">
        <v>3.6733046858786464E-2</v>
      </c>
      <c r="X72" s="36">
        <v>3.8236429463357209E-2</v>
      </c>
      <c r="Y72" s="36">
        <v>5.9165407994149217E-4</v>
      </c>
      <c r="Z72" s="36">
        <v>1.3176270078227958E-3</v>
      </c>
      <c r="AA72" s="36">
        <v>1.2509090450087534E-3</v>
      </c>
      <c r="AB72" s="36">
        <v>1.8632911913501755E-3</v>
      </c>
      <c r="AC72" s="36">
        <v>2.4844930793170039E-3</v>
      </c>
      <c r="AD72" s="36">
        <v>3.3121547986886941E-3</v>
      </c>
      <c r="AE72" s="36">
        <v>4.3467437507235017E-3</v>
      </c>
      <c r="AF72" s="36">
        <v>5.210226700033696E-3</v>
      </c>
      <c r="AG72" s="36">
        <v>5.8150381963915729E-3</v>
      </c>
      <c r="AH72" s="36">
        <v>7.1583929804150343E-3</v>
      </c>
      <c r="AI72" s="36">
        <v>1.1691069229465837E-2</v>
      </c>
      <c r="AJ72" s="36">
        <v>2.0998488202081361E-2</v>
      </c>
      <c r="AK72" s="36">
        <v>2.5630475992297938E-2</v>
      </c>
      <c r="AL72" s="36">
        <v>2.6969803323609497E-2</v>
      </c>
      <c r="AM72" s="36">
        <v>4.8367916767941659E-3</v>
      </c>
      <c r="AN72" s="36">
        <v>5.3248619479542066E-3</v>
      </c>
      <c r="AO72" s="36">
        <v>4.864087727285785E-3</v>
      </c>
      <c r="AP72" s="36">
        <v>5.6332805887406709E-3</v>
      </c>
      <c r="AQ72" s="36">
        <v>5.9765525604968221E-3</v>
      </c>
      <c r="AR72" s="36">
        <v>5.7926663734957969E-3</v>
      </c>
      <c r="AS72" s="36">
        <v>7.0848387798058462E-3</v>
      </c>
      <c r="AT72" s="36">
        <v>8.5153812844286532E-3</v>
      </c>
      <c r="AU72" s="36">
        <v>8.8448300418309343E-3</v>
      </c>
      <c r="AV72" s="36">
        <v>1.0643778722691228E-2</v>
      </c>
      <c r="AW72" s="36">
        <v>1.6505864856171386E-2</v>
      </c>
      <c r="AX72" s="36">
        <v>2.7376888821442225E-2</v>
      </c>
      <c r="AY72" s="36">
        <v>3.2564315718734152E-2</v>
      </c>
      <c r="AZ72" s="36">
        <v>3.4524039823345266E-2</v>
      </c>
      <c r="BA72" s="36">
        <v>7.3331912912246063E-4</v>
      </c>
      <c r="BB72" s="36">
        <v>1.4502999141039006E-3</v>
      </c>
      <c r="BC72" s="36">
        <v>1.7324973806761501E-3</v>
      </c>
      <c r="BD72" s="36">
        <v>2.4308631188153591E-3</v>
      </c>
      <c r="BE72" s="36">
        <v>2.9469913790525614E-3</v>
      </c>
      <c r="BF72" s="36">
        <v>3.2690761878642863E-3</v>
      </c>
      <c r="BG72" s="36">
        <v>4.8597056481622563E-3</v>
      </c>
      <c r="BH72" s="36">
        <v>6.3280898877526633E-3</v>
      </c>
      <c r="BI72" s="36">
        <v>5.3040706532172877E-3</v>
      </c>
      <c r="BJ72" s="36">
        <v>6.6573740694951811E-3</v>
      </c>
      <c r="BK72" s="36">
        <v>1.2706159269767566E-2</v>
      </c>
      <c r="BL72" s="36">
        <v>2.8803697098075461E-2</v>
      </c>
      <c r="BM72" s="36">
        <v>3.4764774310450192E-2</v>
      </c>
      <c r="BN72" s="36">
        <v>3.7308644631436988E-2</v>
      </c>
    </row>
    <row r="73" spans="1:66">
      <c r="A73" s="36">
        <v>0.97566267419648112</v>
      </c>
      <c r="B73" s="36">
        <v>1.3556504778115084</v>
      </c>
      <c r="C73" s="36">
        <v>1.6196440950433937</v>
      </c>
      <c r="D73" s="36">
        <v>0.32205793039732517</v>
      </c>
      <c r="E73" s="36">
        <v>2.8964241412635241</v>
      </c>
      <c r="F73" s="36">
        <v>10.724364025934284</v>
      </c>
      <c r="G73" s="36">
        <v>224.51376262082155</v>
      </c>
      <c r="H73" s="36">
        <v>15118.763758451256</v>
      </c>
      <c r="I73" s="36">
        <v>1679.2867899633382</v>
      </c>
      <c r="J73" s="36">
        <v>1.2332645771240649</v>
      </c>
      <c r="K73" s="36">
        <v>1.0646879143914191E-2</v>
      </c>
      <c r="L73" s="36">
        <v>1.0414821247440458E-2</v>
      </c>
      <c r="M73" s="36">
        <v>1.034853628315228E-2</v>
      </c>
      <c r="N73" s="36">
        <v>1.1718410665993349E-2</v>
      </c>
      <c r="O73" s="36">
        <v>1.2688111821507269E-2</v>
      </c>
      <c r="P73" s="36">
        <v>1.4350778533395092E-2</v>
      </c>
      <c r="Q73" s="36">
        <v>1.4143850124179246E-2</v>
      </c>
      <c r="R73" s="36">
        <v>1.5156483250679077E-2</v>
      </c>
      <c r="S73" s="36">
        <v>1.6123809605213542E-2</v>
      </c>
      <c r="T73" s="36">
        <v>2.0094256525536765E-2</v>
      </c>
      <c r="U73" s="36">
        <v>2.3117138011458576E-2</v>
      </c>
      <c r="V73" s="36">
        <v>3.1919862862649175E-2</v>
      </c>
      <c r="W73" s="36">
        <v>3.7058996682236438E-2</v>
      </c>
      <c r="X73" s="36">
        <v>3.8560058229885591E-2</v>
      </c>
      <c r="Y73" s="36">
        <v>1.028611382252394E-3</v>
      </c>
      <c r="Z73" s="36">
        <v>1.3297406879626762E-3</v>
      </c>
      <c r="AA73" s="36">
        <v>1.2624261031562612E-3</v>
      </c>
      <c r="AB73" s="36">
        <v>1.8808861397401565E-3</v>
      </c>
      <c r="AC73" s="36">
        <v>2.50133659562129E-3</v>
      </c>
      <c r="AD73" s="36">
        <v>3.3116944919140269E-3</v>
      </c>
      <c r="AE73" s="36">
        <v>4.3328161688878982E-3</v>
      </c>
      <c r="AF73" s="36">
        <v>5.2115682693006917E-3</v>
      </c>
      <c r="AG73" s="36">
        <v>6.0516994270180162E-3</v>
      </c>
      <c r="AH73" s="36">
        <v>7.4569276430205295E-3</v>
      </c>
      <c r="AI73" s="36">
        <v>1.209215455142826E-2</v>
      </c>
      <c r="AJ73" s="36">
        <v>2.1348716631841833E-2</v>
      </c>
      <c r="AK73" s="36">
        <v>2.5927224152386536E-2</v>
      </c>
      <c r="AL73" s="36">
        <v>2.7137189776307892E-2</v>
      </c>
      <c r="AM73" s="36">
        <v>4.8857473949213597E-3</v>
      </c>
      <c r="AN73" s="36">
        <v>5.3076258842019199E-3</v>
      </c>
      <c r="AO73" s="36">
        <v>4.85658838122044E-3</v>
      </c>
      <c r="AP73" s="36">
        <v>5.6295829276574181E-3</v>
      </c>
      <c r="AQ73" s="36">
        <v>5.9750102492553111E-3</v>
      </c>
      <c r="AR73" s="36">
        <v>5.8016426843124635E-3</v>
      </c>
      <c r="AS73" s="36">
        <v>7.1144166987442484E-3</v>
      </c>
      <c r="AT73" s="36">
        <v>8.5657208047733926E-3</v>
      </c>
      <c r="AU73" s="36">
        <v>9.353733361635112E-3</v>
      </c>
      <c r="AV73" s="36">
        <v>1.1258589484123319E-2</v>
      </c>
      <c r="AW73" s="36">
        <v>1.7165270023400129E-2</v>
      </c>
      <c r="AX73" s="36">
        <v>2.7798602800238496E-2</v>
      </c>
      <c r="AY73" s="36">
        <v>3.2799628668663407E-2</v>
      </c>
      <c r="AZ73" s="36">
        <v>3.4723357048415296E-2</v>
      </c>
      <c r="BA73" s="36">
        <v>6.9585145550329929E-4</v>
      </c>
      <c r="BB73" s="36">
        <v>1.4089708230647241E-3</v>
      </c>
      <c r="BC73" s="36">
        <v>1.7302923341651108E-3</v>
      </c>
      <c r="BD73" s="36">
        <v>2.4403828305885737E-3</v>
      </c>
      <c r="BE73" s="36">
        <v>2.9537273397536247E-3</v>
      </c>
      <c r="BF73" s="36">
        <v>3.2901094802818593E-3</v>
      </c>
      <c r="BG73" s="36">
        <v>4.8892779690873885E-3</v>
      </c>
      <c r="BH73" s="36">
        <v>6.3635280970722932E-3</v>
      </c>
      <c r="BI73" s="36">
        <v>5.379526687453659E-3</v>
      </c>
      <c r="BJ73" s="36">
        <v>6.9107506881703811E-3</v>
      </c>
      <c r="BK73" s="36">
        <v>1.3026466754554739E-2</v>
      </c>
      <c r="BL73" s="36">
        <v>2.925590712519166E-2</v>
      </c>
      <c r="BM73" s="36">
        <v>3.5132880580942848E-2</v>
      </c>
      <c r="BN73" s="36">
        <v>3.7632832538227766E-2</v>
      </c>
    </row>
    <row r="74" spans="1:66">
      <c r="A74" s="36">
        <v>0.97744376167346669</v>
      </c>
      <c r="B74" s="36">
        <v>1.3549508610905128</v>
      </c>
      <c r="C74" s="36">
        <v>1.6238582292896671</v>
      </c>
      <c r="D74" s="36">
        <v>0.3218722018504922</v>
      </c>
      <c r="E74" s="36">
        <v>2.7858174435872973</v>
      </c>
      <c r="F74" s="36">
        <v>10.822680106124082</v>
      </c>
      <c r="G74" s="36">
        <v>224.40619784063477</v>
      </c>
      <c r="H74" s="36">
        <v>15118.768502705338</v>
      </c>
      <c r="I74" s="36">
        <v>1679.2866310597299</v>
      </c>
      <c r="J74" s="36">
        <v>1.260963008319111</v>
      </c>
      <c r="K74" s="36">
        <v>1.1169111218180528E-2</v>
      </c>
      <c r="L74" s="36">
        <v>1.1011858317578282E-2</v>
      </c>
      <c r="M74" s="36">
        <v>1.0419694624363809E-2</v>
      </c>
      <c r="N74" s="36">
        <v>1.1795293754700951E-2</v>
      </c>
      <c r="O74" s="36">
        <v>1.2618597581758588E-2</v>
      </c>
      <c r="P74" s="36">
        <v>1.4420275468934056E-2</v>
      </c>
      <c r="Q74" s="36">
        <v>1.401813323265433E-2</v>
      </c>
      <c r="R74" s="36">
        <v>1.5608761732254877E-2</v>
      </c>
      <c r="S74" s="36">
        <v>1.6233791346561423E-2</v>
      </c>
      <c r="T74" s="36">
        <v>2.0267331497353713E-2</v>
      </c>
      <c r="U74" s="36">
        <v>2.3361725450405716E-2</v>
      </c>
      <c r="V74" s="36">
        <v>3.209363365570838E-2</v>
      </c>
      <c r="W74" s="36">
        <v>3.7393257097528554E-2</v>
      </c>
      <c r="X74" s="36">
        <v>3.8899941304946367E-2</v>
      </c>
      <c r="Y74" s="36">
        <v>1.902040079993738E-3</v>
      </c>
      <c r="Z74" s="36">
        <v>1.5506802531183802E-3</v>
      </c>
      <c r="AA74" s="36">
        <v>1.3319217229011771E-3</v>
      </c>
      <c r="AB74" s="36">
        <v>1.9796531536734599E-3</v>
      </c>
      <c r="AC74" s="36">
        <v>2.5677036145671673E-3</v>
      </c>
      <c r="AD74" s="36">
        <v>3.3659140480536811E-3</v>
      </c>
      <c r="AE74" s="36">
        <v>4.3985853301144531E-3</v>
      </c>
      <c r="AF74" s="36">
        <v>5.2442392573058714E-3</v>
      </c>
      <c r="AG74" s="36">
        <v>6.0067861891557857E-3</v>
      </c>
      <c r="AH74" s="36">
        <v>7.4434577644832585E-3</v>
      </c>
      <c r="AI74" s="36">
        <v>1.214235859435997E-2</v>
      </c>
      <c r="AJ74" s="36">
        <v>2.1410282676549191E-2</v>
      </c>
      <c r="AK74" s="36">
        <v>2.5947728817608807E-2</v>
      </c>
      <c r="AL74" s="36">
        <v>2.7249396725962362E-2</v>
      </c>
      <c r="AM74" s="36">
        <v>4.6644320691927857E-3</v>
      </c>
      <c r="AN74" s="36">
        <v>5.3528897799257312E-3</v>
      </c>
      <c r="AO74" s="36">
        <v>4.8776018332664399E-3</v>
      </c>
      <c r="AP74" s="36">
        <v>5.6451746566510263E-3</v>
      </c>
      <c r="AQ74" s="36">
        <v>5.9989787133996044E-3</v>
      </c>
      <c r="AR74" s="36">
        <v>5.8294940570685072E-3</v>
      </c>
      <c r="AS74" s="36">
        <v>7.1422795976755927E-3</v>
      </c>
      <c r="AT74" s="36">
        <v>8.5840478930860747E-3</v>
      </c>
      <c r="AU74" s="36">
        <v>9.3511576948992411E-3</v>
      </c>
      <c r="AV74" s="36">
        <v>1.1271398350542207E-2</v>
      </c>
      <c r="AW74" s="36">
        <v>1.7271989782502776E-2</v>
      </c>
      <c r="AX74" s="36">
        <v>2.8015991389535751E-2</v>
      </c>
      <c r="AY74" s="36">
        <v>3.3117613518196053E-2</v>
      </c>
      <c r="AZ74" s="36">
        <v>3.4901174930781161E-2</v>
      </c>
      <c r="BA74" s="36">
        <v>1.0657760952038722E-3</v>
      </c>
      <c r="BB74" s="36">
        <v>1.8834915369361281E-3</v>
      </c>
      <c r="BC74" s="36">
        <v>1.8914345689699725E-3</v>
      </c>
      <c r="BD74" s="36">
        <v>2.557832843126938E-3</v>
      </c>
      <c r="BE74" s="36">
        <v>3.0466439898270193E-3</v>
      </c>
      <c r="BF74" s="36">
        <v>3.3362319278128147E-3</v>
      </c>
      <c r="BG74" s="36">
        <v>4.9182150972319804E-3</v>
      </c>
      <c r="BH74" s="36">
        <v>6.3712434633332706E-3</v>
      </c>
      <c r="BI74" s="36">
        <v>5.353594309512366E-3</v>
      </c>
      <c r="BJ74" s="36">
        <v>6.7800150116791233E-3</v>
      </c>
      <c r="BK74" s="36">
        <v>1.3013080281890278E-2</v>
      </c>
      <c r="BL74" s="36">
        <v>2.9287616312685581E-2</v>
      </c>
      <c r="BM74" s="36">
        <v>3.5165796135756447E-2</v>
      </c>
      <c r="BN74" s="36">
        <v>3.7655446411410901E-2</v>
      </c>
    </row>
    <row r="75" spans="1:66">
      <c r="A75" s="36">
        <v>0.97176168582691347</v>
      </c>
      <c r="B75" s="36">
        <v>1.3505548027048342</v>
      </c>
      <c r="C75" s="36">
        <v>1.6153227437150124</v>
      </c>
      <c r="D75" s="36">
        <v>0.32002101111024867</v>
      </c>
      <c r="E75" s="36">
        <v>2.8252137215439328</v>
      </c>
      <c r="F75" s="36">
        <v>10.932642134246729</v>
      </c>
      <c r="G75" s="36">
        <v>219.81858358291012</v>
      </c>
      <c r="H75" s="36">
        <v>15118.765734751771</v>
      </c>
      <c r="I75" s="36">
        <v>1679.2877301696803</v>
      </c>
      <c r="J75" s="36">
        <v>1.2559708223454427</v>
      </c>
      <c r="K75" s="36">
        <v>1.1348548390797859E-2</v>
      </c>
      <c r="L75" s="36">
        <v>1.112528697585667E-2</v>
      </c>
      <c r="M75" s="36">
        <v>1.0542652270166613E-2</v>
      </c>
      <c r="N75" s="36">
        <v>1.1906965797826007E-2</v>
      </c>
      <c r="O75" s="36">
        <v>1.2733484108426018E-2</v>
      </c>
      <c r="P75" s="36">
        <v>1.4418063020009118E-2</v>
      </c>
      <c r="Q75" s="36">
        <v>1.4124397440010601E-2</v>
      </c>
      <c r="R75" s="36">
        <v>1.5134845945416817E-2</v>
      </c>
      <c r="S75" s="36">
        <v>1.6004088767050569E-2</v>
      </c>
      <c r="T75" s="36">
        <v>1.9917543990159763E-2</v>
      </c>
      <c r="U75" s="36">
        <v>2.2834697549513453E-2</v>
      </c>
      <c r="V75" s="36">
        <v>3.1462275267686364E-2</v>
      </c>
      <c r="W75" s="36">
        <v>3.6669185645405222E-2</v>
      </c>
      <c r="X75" s="36">
        <v>3.8200613405044916E-2</v>
      </c>
      <c r="Y75" s="36">
        <v>1.949059731615362E-3</v>
      </c>
      <c r="Z75" s="36">
        <v>1.3704173875370813E-3</v>
      </c>
      <c r="AA75" s="36">
        <v>1.2636278240580482E-3</v>
      </c>
      <c r="AB75" s="36">
        <v>1.8801958188955649E-3</v>
      </c>
      <c r="AC75" s="36">
        <v>2.4957003191554698E-3</v>
      </c>
      <c r="AD75" s="36">
        <v>3.2876421735694886E-3</v>
      </c>
      <c r="AE75" s="36">
        <v>4.3384306647369121E-3</v>
      </c>
      <c r="AF75" s="36">
        <v>5.1966043209087194E-3</v>
      </c>
      <c r="AG75" s="36">
        <v>5.9753882367636017E-3</v>
      </c>
      <c r="AH75" s="36">
        <v>7.3068542652417311E-3</v>
      </c>
      <c r="AI75" s="36">
        <v>1.199929498066472E-2</v>
      </c>
      <c r="AJ75" s="36">
        <v>2.1258231986995422E-2</v>
      </c>
      <c r="AK75" s="36">
        <v>2.5695148957763231E-2</v>
      </c>
      <c r="AL75" s="36">
        <v>2.7111735241773145E-2</v>
      </c>
      <c r="AM75" s="36">
        <v>4.7256470328821808E-3</v>
      </c>
      <c r="AN75" s="36">
        <v>5.4576115473677911E-3</v>
      </c>
      <c r="AO75" s="36">
        <v>4.8968296533399994E-3</v>
      </c>
      <c r="AP75" s="36">
        <v>5.6458274899166046E-3</v>
      </c>
      <c r="AQ75" s="36">
        <v>5.9808339204967496E-3</v>
      </c>
      <c r="AR75" s="36">
        <v>5.7950038079522953E-3</v>
      </c>
      <c r="AS75" s="36">
        <v>7.0911374796368129E-3</v>
      </c>
      <c r="AT75" s="36">
        <v>8.5389991625584617E-3</v>
      </c>
      <c r="AU75" s="36">
        <v>9.2015603998819116E-3</v>
      </c>
      <c r="AV75" s="36">
        <v>1.107796778212972E-2</v>
      </c>
      <c r="AW75" s="36">
        <v>1.6949690292175475E-2</v>
      </c>
      <c r="AX75" s="36">
        <v>2.7594048977223541E-2</v>
      </c>
      <c r="AY75" s="36">
        <v>3.2716910093126654E-2</v>
      </c>
      <c r="AZ75" s="36">
        <v>3.4591095277298547E-2</v>
      </c>
      <c r="BA75" s="36">
        <v>1.1909026842473929E-3</v>
      </c>
      <c r="BB75" s="36">
        <v>2.2335478160757359E-3</v>
      </c>
      <c r="BC75" s="36">
        <v>1.9336642350630414E-3</v>
      </c>
      <c r="BD75" s="36">
        <v>2.526246296324885E-3</v>
      </c>
      <c r="BE75" s="36">
        <v>3.011307433676111E-3</v>
      </c>
      <c r="BF75" s="36">
        <v>3.2949917365165519E-3</v>
      </c>
      <c r="BG75" s="36">
        <v>4.872001526629575E-3</v>
      </c>
      <c r="BH75" s="36">
        <v>6.3293743723925435E-3</v>
      </c>
      <c r="BI75" s="36">
        <v>5.2560517022601956E-3</v>
      </c>
      <c r="BJ75" s="36">
        <v>6.6060265783633816E-3</v>
      </c>
      <c r="BK75" s="36">
        <v>1.2758179508539254E-2</v>
      </c>
      <c r="BL75" s="36">
        <v>2.8729402837301792E-2</v>
      </c>
      <c r="BM75" s="36">
        <v>3.4664625664490585E-2</v>
      </c>
      <c r="BN75" s="36">
        <v>3.7124195998128266E-2</v>
      </c>
    </row>
    <row r="76" spans="1:66">
      <c r="A76" s="36">
        <v>0.96428804928485035</v>
      </c>
      <c r="B76" s="36">
        <v>1.3424864773978848</v>
      </c>
      <c r="C76" s="36">
        <v>1.6035004981222678</v>
      </c>
      <c r="D76" s="36">
        <v>0.31773383734817057</v>
      </c>
      <c r="E76" s="36">
        <v>2.7762536188460443</v>
      </c>
      <c r="F76" s="36">
        <v>10.47310485508612</v>
      </c>
      <c r="G76" s="36">
        <v>220.74128054058494</v>
      </c>
      <c r="H76" s="36">
        <v>15118.764125503205</v>
      </c>
      <c r="I76" s="36">
        <v>1679.2803649651494</v>
      </c>
      <c r="J76" s="36">
        <v>1.2073975965311592</v>
      </c>
      <c r="K76" s="36">
        <v>1.054528553919221E-2</v>
      </c>
      <c r="L76" s="36">
        <v>1.0357486932451273E-2</v>
      </c>
      <c r="M76" s="36">
        <v>1.0310732375598425E-2</v>
      </c>
      <c r="N76" s="36">
        <v>1.1819480672893307E-2</v>
      </c>
      <c r="O76" s="36">
        <v>1.2682631277556077E-2</v>
      </c>
      <c r="P76" s="36">
        <v>1.4363568455064419E-2</v>
      </c>
      <c r="Q76" s="36">
        <v>1.4089016849686341E-2</v>
      </c>
      <c r="R76" s="36">
        <v>1.5726110034123462E-2</v>
      </c>
      <c r="S76" s="36">
        <v>1.5933396872569318E-2</v>
      </c>
      <c r="T76" s="36">
        <v>1.9741002353991153E-2</v>
      </c>
      <c r="U76" s="36">
        <v>2.2565259128163536E-2</v>
      </c>
      <c r="V76" s="36">
        <v>3.1437364786402078E-2</v>
      </c>
      <c r="W76" s="36">
        <v>3.6737566286933296E-2</v>
      </c>
      <c r="X76" s="36">
        <v>3.8253467730186494E-2</v>
      </c>
      <c r="Y76" s="36">
        <v>8.4269038601796379E-4</v>
      </c>
      <c r="Z76" s="36">
        <v>1.4543686344191604E-3</v>
      </c>
      <c r="AA76" s="36">
        <v>1.3073725548127578E-3</v>
      </c>
      <c r="AB76" s="36">
        <v>1.9542171528728349E-3</v>
      </c>
      <c r="AC76" s="36">
        <v>2.5826393625858761E-3</v>
      </c>
      <c r="AD76" s="36">
        <v>3.3565973761185493E-3</v>
      </c>
      <c r="AE76" s="36">
        <v>4.3892536243048752E-3</v>
      </c>
      <c r="AF76" s="36">
        <v>5.2335687299470525E-3</v>
      </c>
      <c r="AG76" s="36">
        <v>5.8684077030876922E-3</v>
      </c>
      <c r="AH76" s="36">
        <v>7.2635886168045923E-3</v>
      </c>
      <c r="AI76" s="36">
        <v>1.1876064459330489E-2</v>
      </c>
      <c r="AJ76" s="36">
        <v>2.1091152280130376E-2</v>
      </c>
      <c r="AK76" s="36">
        <v>2.5715238278143013E-2</v>
      </c>
      <c r="AL76" s="36">
        <v>2.6995925141995808E-2</v>
      </c>
      <c r="AM76" s="36">
        <v>4.8431224202396322E-3</v>
      </c>
      <c r="AN76" s="36">
        <v>5.5134922583948377E-3</v>
      </c>
      <c r="AO76" s="36">
        <v>4.9163149065418812E-3</v>
      </c>
      <c r="AP76" s="36">
        <v>5.6711284119441534E-3</v>
      </c>
      <c r="AQ76" s="36">
        <v>6.0133053437191322E-3</v>
      </c>
      <c r="AR76" s="36">
        <v>5.839374289253573E-3</v>
      </c>
      <c r="AS76" s="36">
        <v>7.1710400255746674E-3</v>
      </c>
      <c r="AT76" s="36">
        <v>8.6308053418573741E-3</v>
      </c>
      <c r="AU76" s="36">
        <v>9.1070914850297953E-3</v>
      </c>
      <c r="AV76" s="36">
        <v>1.0936928790105029E-2</v>
      </c>
      <c r="AW76" s="36">
        <v>1.688430994553141E-2</v>
      </c>
      <c r="AX76" s="36">
        <v>2.7737766802856771E-2</v>
      </c>
      <c r="AY76" s="36">
        <v>3.285553806307652E-2</v>
      </c>
      <c r="AZ76" s="36">
        <v>3.4717053788966779E-2</v>
      </c>
      <c r="BA76" s="36">
        <v>7.600973607643631E-4</v>
      </c>
      <c r="BB76" s="36">
        <v>1.7443990517734011E-3</v>
      </c>
      <c r="BC76" s="36">
        <v>1.8536181819586944E-3</v>
      </c>
      <c r="BD76" s="36">
        <v>2.5490435238834019E-3</v>
      </c>
      <c r="BE76" s="36">
        <v>3.0444122054420061E-3</v>
      </c>
      <c r="BF76" s="36">
        <v>3.3370906692858316E-3</v>
      </c>
      <c r="BG76" s="36">
        <v>4.9336402159888002E-3</v>
      </c>
      <c r="BH76" s="36">
        <v>6.4012013490940285E-3</v>
      </c>
      <c r="BI76" s="36">
        <v>5.311937284085958E-3</v>
      </c>
      <c r="BJ76" s="36">
        <v>6.6729940291293697E-3</v>
      </c>
      <c r="BK76" s="36">
        <v>1.2889042784612885E-2</v>
      </c>
      <c r="BL76" s="36">
        <v>2.9061380256676463E-2</v>
      </c>
      <c r="BM76" s="36">
        <v>3.5057860685125286E-2</v>
      </c>
      <c r="BN76" s="36">
        <v>3.757070260294685E-2</v>
      </c>
    </row>
    <row r="77" spans="1:66">
      <c r="A77" s="36">
        <v>0.97235838573836741</v>
      </c>
      <c r="B77" s="36">
        <v>1.3530249540460937</v>
      </c>
      <c r="C77" s="36">
        <v>1.6186738286378806</v>
      </c>
      <c r="D77" s="36">
        <v>0.32167458025511553</v>
      </c>
      <c r="E77" s="36">
        <v>2.8021628694149321</v>
      </c>
      <c r="F77" s="36">
        <v>10.559354878388952</v>
      </c>
      <c r="G77" s="36">
        <v>226.92548396873102</v>
      </c>
      <c r="H77" s="36">
        <v>15118.761912079102</v>
      </c>
      <c r="I77" s="36">
        <v>1679.2790814035177</v>
      </c>
      <c r="J77" s="36">
        <v>1.2519269379380662</v>
      </c>
      <c r="K77" s="36">
        <v>1.0858212816287202E-2</v>
      </c>
      <c r="L77" s="36">
        <v>1.0967561087938742E-2</v>
      </c>
      <c r="M77" s="36">
        <v>1.0563407868709924E-2</v>
      </c>
      <c r="N77" s="36">
        <v>1.1867627890551565E-2</v>
      </c>
      <c r="O77" s="36">
        <v>1.281722885982574E-2</v>
      </c>
      <c r="P77" s="36">
        <v>1.4455800257177335E-2</v>
      </c>
      <c r="Q77" s="36">
        <v>1.4177724921504717E-2</v>
      </c>
      <c r="R77" s="36">
        <v>1.4999387461895854E-2</v>
      </c>
      <c r="S77" s="36">
        <v>1.6001827649825662E-2</v>
      </c>
      <c r="T77" s="36">
        <v>1.9829716117684956E-2</v>
      </c>
      <c r="U77" s="36">
        <v>2.2688855720671988E-2</v>
      </c>
      <c r="V77" s="36">
        <v>3.1440140875445853E-2</v>
      </c>
      <c r="W77" s="36">
        <v>3.6685634162341191E-2</v>
      </c>
      <c r="X77" s="36">
        <v>3.8128852633001628E-2</v>
      </c>
      <c r="Y77" s="36">
        <v>6.5307491993718515E-4</v>
      </c>
      <c r="Z77" s="36">
        <v>1.4222690632581265E-3</v>
      </c>
      <c r="AA77" s="36">
        <v>1.2825286116863828E-3</v>
      </c>
      <c r="AB77" s="36">
        <v>1.8839197955545668E-3</v>
      </c>
      <c r="AC77" s="36">
        <v>2.5123044683491745E-3</v>
      </c>
      <c r="AD77" s="36">
        <v>3.3191840721832604E-3</v>
      </c>
      <c r="AE77" s="36">
        <v>4.3583061710884404E-3</v>
      </c>
      <c r="AF77" s="36">
        <v>5.2289693007880143E-3</v>
      </c>
      <c r="AG77" s="36">
        <v>5.8762184174102582E-3</v>
      </c>
      <c r="AH77" s="36">
        <v>7.2154242486884663E-3</v>
      </c>
      <c r="AI77" s="36">
        <v>1.172033893601856E-2</v>
      </c>
      <c r="AJ77" s="36">
        <v>2.0884400058214271E-2</v>
      </c>
      <c r="AK77" s="36">
        <v>2.5455263560427495E-2</v>
      </c>
      <c r="AL77" s="36">
        <v>2.675907092746824E-2</v>
      </c>
      <c r="AM77" s="36">
        <v>4.8289874834911099E-3</v>
      </c>
      <c r="AN77" s="36">
        <v>5.4487272057445755E-3</v>
      </c>
      <c r="AO77" s="36">
        <v>4.8981799279227993E-3</v>
      </c>
      <c r="AP77" s="36">
        <v>5.6474325690276505E-3</v>
      </c>
      <c r="AQ77" s="36">
        <v>5.9831010022012984E-3</v>
      </c>
      <c r="AR77" s="36">
        <v>5.8081789190665683E-3</v>
      </c>
      <c r="AS77" s="36">
        <v>7.1159352711393595E-3</v>
      </c>
      <c r="AT77" s="36">
        <v>8.5653982657241754E-3</v>
      </c>
      <c r="AU77" s="36">
        <v>8.9979899926615099E-3</v>
      </c>
      <c r="AV77" s="36">
        <v>1.0760915729699349E-2</v>
      </c>
      <c r="AW77" s="36">
        <v>1.6598213884109293E-2</v>
      </c>
      <c r="AX77" s="36">
        <v>2.7326510796010842E-2</v>
      </c>
      <c r="AY77" s="36">
        <v>3.2432601853494988E-2</v>
      </c>
      <c r="AZ77" s="36">
        <v>3.427602287628697E-2</v>
      </c>
      <c r="BA77" s="36">
        <v>1.0885200973429041E-3</v>
      </c>
      <c r="BB77" s="36">
        <v>1.9206403378865156E-3</v>
      </c>
      <c r="BC77" s="36">
        <v>1.8871518771746366E-3</v>
      </c>
      <c r="BD77" s="36">
        <v>2.5150461574858654E-3</v>
      </c>
      <c r="BE77" s="36">
        <v>3.0168919726723063E-3</v>
      </c>
      <c r="BF77" s="36">
        <v>3.3087927188140145E-3</v>
      </c>
      <c r="BG77" s="36">
        <v>4.9011599239695324E-3</v>
      </c>
      <c r="BH77" s="36">
        <v>6.3706084088360109E-3</v>
      </c>
      <c r="BI77" s="36">
        <v>5.3140584176970115E-3</v>
      </c>
      <c r="BJ77" s="36">
        <v>6.7702992173807415E-3</v>
      </c>
      <c r="BK77" s="36">
        <v>1.291213467671911E-2</v>
      </c>
      <c r="BL77" s="36">
        <v>2.8986272381711208E-2</v>
      </c>
      <c r="BM77" s="36">
        <v>3.4985771469968015E-2</v>
      </c>
      <c r="BN77" s="36">
        <v>3.7370804554196148E-2</v>
      </c>
    </row>
    <row r="78" spans="1:66">
      <c r="A78" s="36">
        <v>0.97096886898740209</v>
      </c>
      <c r="B78" s="36">
        <v>1.3481835253657122</v>
      </c>
      <c r="C78" s="36">
        <v>1.6151141187242559</v>
      </c>
      <c r="D78" s="36">
        <v>0.32008701557262448</v>
      </c>
      <c r="E78" s="36">
        <v>2.8015699299254497</v>
      </c>
      <c r="F78" s="36">
        <v>10.797168384982585</v>
      </c>
      <c r="G78" s="36">
        <v>224.21939219763604</v>
      </c>
      <c r="H78" s="36">
        <v>15118.76368311708</v>
      </c>
      <c r="I78" s="36">
        <v>1679.2828330715495</v>
      </c>
      <c r="J78" s="36">
        <v>1.2580124984022987</v>
      </c>
      <c r="K78" s="36">
        <v>1.0889634094531779E-2</v>
      </c>
      <c r="L78" s="36">
        <v>1.072575760761932E-2</v>
      </c>
      <c r="M78" s="36">
        <v>1.0565727729505783E-2</v>
      </c>
      <c r="N78" s="36">
        <v>1.196333959900794E-2</v>
      </c>
      <c r="O78" s="36">
        <v>1.2875447506161557E-2</v>
      </c>
      <c r="P78" s="36">
        <v>1.4618664203902676E-2</v>
      </c>
      <c r="Q78" s="36">
        <v>1.4274694952088942E-2</v>
      </c>
      <c r="R78" s="36">
        <v>1.5259032340821894E-2</v>
      </c>
      <c r="S78" s="36">
        <v>1.6051221754234821E-2</v>
      </c>
      <c r="T78" s="36">
        <v>1.9935163157764713E-2</v>
      </c>
      <c r="U78" s="36">
        <v>2.277516610966035E-2</v>
      </c>
      <c r="V78" s="36">
        <v>3.1518885984787817E-2</v>
      </c>
      <c r="W78" s="36">
        <v>3.6615113778855707E-2</v>
      </c>
      <c r="X78" s="36">
        <v>3.8149921541987437E-2</v>
      </c>
      <c r="Y78" s="36">
        <v>2.0729602103958696E-3</v>
      </c>
      <c r="Z78" s="36">
        <v>1.326969118050306E-3</v>
      </c>
      <c r="AA78" s="36">
        <v>1.2842805935854608E-3</v>
      </c>
      <c r="AB78" s="36">
        <v>1.9052759760476074E-3</v>
      </c>
      <c r="AC78" s="36">
        <v>2.5044532990893169E-3</v>
      </c>
      <c r="AD78" s="36">
        <v>3.3041849307219148E-3</v>
      </c>
      <c r="AE78" s="36">
        <v>4.3403827020836059E-3</v>
      </c>
      <c r="AF78" s="36">
        <v>5.2245627571119464E-3</v>
      </c>
      <c r="AG78" s="36">
        <v>6.1458040504612267E-3</v>
      </c>
      <c r="AH78" s="36">
        <v>7.5646062695625318E-3</v>
      </c>
      <c r="AI78" s="36">
        <v>1.2216232273917391E-2</v>
      </c>
      <c r="AJ78" s="36">
        <v>2.1398785777232195E-2</v>
      </c>
      <c r="AK78" s="36">
        <v>2.5958532431915385E-2</v>
      </c>
      <c r="AL78" s="36">
        <v>2.7172467789037372E-2</v>
      </c>
      <c r="AM78" s="36">
        <v>4.7523570495695659E-3</v>
      </c>
      <c r="AN78" s="36">
        <v>5.2578366777209567E-3</v>
      </c>
      <c r="AO78" s="36">
        <v>4.854832723743225E-3</v>
      </c>
      <c r="AP78" s="36">
        <v>5.6252571937556086E-3</v>
      </c>
      <c r="AQ78" s="36">
        <v>5.9756123436246538E-3</v>
      </c>
      <c r="AR78" s="36">
        <v>5.7961860000734196E-3</v>
      </c>
      <c r="AS78" s="36">
        <v>7.1041356785755266E-3</v>
      </c>
      <c r="AT78" s="36">
        <v>8.5575769868525327E-3</v>
      </c>
      <c r="AU78" s="36">
        <v>9.3286165006118936E-3</v>
      </c>
      <c r="AV78" s="36">
        <v>1.1211004474524427E-2</v>
      </c>
      <c r="AW78" s="36">
        <v>1.704134562638817E-2</v>
      </c>
      <c r="AX78" s="36">
        <v>2.7640636676223112E-2</v>
      </c>
      <c r="AY78" s="36">
        <v>3.266405951147152E-2</v>
      </c>
      <c r="AZ78" s="36">
        <v>3.4590647564646602E-2</v>
      </c>
      <c r="BA78" s="36">
        <v>8.2997638505975726E-4</v>
      </c>
      <c r="BB78" s="36">
        <v>1.5858767184301389E-3</v>
      </c>
      <c r="BC78" s="36">
        <v>1.7891759990344563E-3</v>
      </c>
      <c r="BD78" s="36">
        <v>2.4816354995306502E-3</v>
      </c>
      <c r="BE78" s="36">
        <v>2.9789286387869162E-3</v>
      </c>
      <c r="BF78" s="36">
        <v>3.3039895974186478E-3</v>
      </c>
      <c r="BG78" s="36">
        <v>4.9126918699620671E-3</v>
      </c>
      <c r="BH78" s="36">
        <v>6.399118645160122E-3</v>
      </c>
      <c r="BI78" s="36">
        <v>5.3707335534156709E-3</v>
      </c>
      <c r="BJ78" s="36">
        <v>6.861119472455387E-3</v>
      </c>
      <c r="BK78" s="36">
        <v>1.2888969603214661E-2</v>
      </c>
      <c r="BL78" s="36">
        <v>2.9012153324561835E-2</v>
      </c>
      <c r="BM78" s="36">
        <v>3.4938436753990207E-2</v>
      </c>
      <c r="BN78" s="36">
        <v>3.7416458492235155E-2</v>
      </c>
    </row>
    <row r="79" spans="1:66">
      <c r="A79" s="36">
        <v>0.9684109059077991</v>
      </c>
      <c r="B79" s="36">
        <v>1.3488301610214497</v>
      </c>
      <c r="C79" s="36">
        <v>1.6072658095465131</v>
      </c>
      <c r="D79" s="36">
        <v>0.31892245043643436</v>
      </c>
      <c r="E79" s="36">
        <v>2.7606467779878492</v>
      </c>
      <c r="F79" s="36">
        <v>10.788011647041831</v>
      </c>
      <c r="G79" s="36">
        <v>221.76897738918802</v>
      </c>
      <c r="H79" s="36">
        <v>15118.762026635146</v>
      </c>
      <c r="I79" s="36">
        <v>1679.2789474937665</v>
      </c>
      <c r="J79" s="36">
        <v>1.2265869754988625</v>
      </c>
      <c r="K79" s="36">
        <v>1.1200670483885698E-2</v>
      </c>
      <c r="L79" s="36">
        <v>1.0995652588113632E-2</v>
      </c>
      <c r="M79" s="36">
        <v>1.0984340200647454E-2</v>
      </c>
      <c r="N79" s="36">
        <v>1.2263158974853392E-2</v>
      </c>
      <c r="O79" s="36">
        <v>1.3131164358340303E-2</v>
      </c>
      <c r="P79" s="36">
        <v>1.4740328098012229E-2</v>
      </c>
      <c r="Q79" s="36">
        <v>1.438793012136139E-2</v>
      </c>
      <c r="R79" s="36">
        <v>1.4606948400355502E-2</v>
      </c>
      <c r="S79" s="36">
        <v>1.6002486891614275E-2</v>
      </c>
      <c r="T79" s="36">
        <v>1.9881357448002381E-2</v>
      </c>
      <c r="U79" s="36">
        <v>2.27976520259165E-2</v>
      </c>
      <c r="V79" s="36">
        <v>3.1766656373867198E-2</v>
      </c>
      <c r="W79" s="36">
        <v>3.7034566846965308E-2</v>
      </c>
      <c r="X79" s="36">
        <v>3.8468210270151321E-2</v>
      </c>
      <c r="Y79" s="36">
        <v>1.2871954719401541E-3</v>
      </c>
      <c r="Z79" s="36">
        <v>1.2682069907941427E-3</v>
      </c>
      <c r="AA79" s="36">
        <v>1.2517123849179279E-3</v>
      </c>
      <c r="AB79" s="36">
        <v>1.8714757883012047E-3</v>
      </c>
      <c r="AC79" s="36">
        <v>2.4678540192982806E-3</v>
      </c>
      <c r="AD79" s="36">
        <v>3.2774481604895957E-3</v>
      </c>
      <c r="AE79" s="36">
        <v>4.3264995914229143E-3</v>
      </c>
      <c r="AF79" s="36">
        <v>5.2019991625586849E-3</v>
      </c>
      <c r="AG79" s="36">
        <v>5.9240725874365801E-3</v>
      </c>
      <c r="AH79" s="36">
        <v>7.3554535516800901E-3</v>
      </c>
      <c r="AI79" s="36">
        <v>1.1990021316319955E-2</v>
      </c>
      <c r="AJ79" s="36">
        <v>2.1352994614922332E-2</v>
      </c>
      <c r="AK79" s="36">
        <v>2.5941000792357432E-2</v>
      </c>
      <c r="AL79" s="36">
        <v>2.7226232427958311E-2</v>
      </c>
      <c r="AM79" s="36">
        <v>4.7445265101270827E-3</v>
      </c>
      <c r="AN79" s="36">
        <v>5.2574798159669934E-3</v>
      </c>
      <c r="AO79" s="36">
        <v>4.8517020724268556E-3</v>
      </c>
      <c r="AP79" s="36">
        <v>5.6226234489602277E-3</v>
      </c>
      <c r="AQ79" s="36">
        <v>5.9649330565421221E-3</v>
      </c>
      <c r="AR79" s="36">
        <v>5.7725685111413684E-3</v>
      </c>
      <c r="AS79" s="36">
        <v>7.0693524358494478E-3</v>
      </c>
      <c r="AT79" s="36">
        <v>8.5205660532689399E-3</v>
      </c>
      <c r="AU79" s="36">
        <v>9.2295881324192686E-3</v>
      </c>
      <c r="AV79" s="36">
        <v>1.1122378277940876E-2</v>
      </c>
      <c r="AW79" s="36">
        <v>1.696951699733611E-2</v>
      </c>
      <c r="AX79" s="36">
        <v>2.7650209739091713E-2</v>
      </c>
      <c r="AY79" s="36">
        <v>3.2709020304043934E-2</v>
      </c>
      <c r="AZ79" s="36">
        <v>3.4576824874041782E-2</v>
      </c>
      <c r="BA79" s="36">
        <v>1.0711592420059668E-3</v>
      </c>
      <c r="BB79" s="36">
        <v>1.5069246796117865E-3</v>
      </c>
      <c r="BC79" s="36">
        <v>1.7591553125605344E-3</v>
      </c>
      <c r="BD79" s="36">
        <v>2.4481391290937398E-3</v>
      </c>
      <c r="BE79" s="36">
        <v>2.9615776749016185E-3</v>
      </c>
      <c r="BF79" s="36">
        <v>3.2535414103137769E-3</v>
      </c>
      <c r="BG79" s="36">
        <v>4.8606592878438432E-3</v>
      </c>
      <c r="BH79" s="36">
        <v>6.3546874787156343E-3</v>
      </c>
      <c r="BI79" s="36">
        <v>5.3222356550742915E-3</v>
      </c>
      <c r="BJ79" s="36">
        <v>6.7083988745437334E-3</v>
      </c>
      <c r="BK79" s="36">
        <v>1.2874059756875904E-2</v>
      </c>
      <c r="BL79" s="36">
        <v>2.9199122682064857E-2</v>
      </c>
      <c r="BM79" s="36">
        <v>3.5195293187229061E-2</v>
      </c>
      <c r="BN79" s="36">
        <v>3.7811729449527431E-2</v>
      </c>
    </row>
    <row r="80" spans="1:66">
      <c r="A80" s="36">
        <v>0.96758264095290847</v>
      </c>
      <c r="B80" s="36">
        <v>1.3439562227012507</v>
      </c>
      <c r="C80" s="36">
        <v>1.6133051282997068</v>
      </c>
      <c r="D80" s="36">
        <v>0.31876962746817256</v>
      </c>
      <c r="E80" s="36">
        <v>2.8069595644531895</v>
      </c>
      <c r="F80" s="36">
        <v>10.66681767769759</v>
      </c>
      <c r="G80" s="36">
        <v>227.20194590057463</v>
      </c>
      <c r="H80" s="36">
        <v>15118.761273083157</v>
      </c>
      <c r="I80" s="36">
        <v>1679.2787593061232</v>
      </c>
      <c r="J80" s="36">
        <v>1.2341282384449797</v>
      </c>
      <c r="K80" s="36">
        <v>1.1104640163496852E-2</v>
      </c>
      <c r="L80" s="36">
        <v>1.1122657290163162E-2</v>
      </c>
      <c r="M80" s="36">
        <v>1.0577824317235978E-2</v>
      </c>
      <c r="N80" s="36">
        <v>1.2010249312868046E-2</v>
      </c>
      <c r="O80" s="36">
        <v>1.2919485881014756E-2</v>
      </c>
      <c r="P80" s="36">
        <v>1.4676344447251709E-2</v>
      </c>
      <c r="Q80" s="36">
        <v>1.4267898951535169E-2</v>
      </c>
      <c r="R80" s="36">
        <v>1.5297397628388399E-2</v>
      </c>
      <c r="S80" s="36">
        <v>1.5786524727512585E-2</v>
      </c>
      <c r="T80" s="36">
        <v>1.9545293167461189E-2</v>
      </c>
      <c r="U80" s="36">
        <v>2.2317391902753683E-2</v>
      </c>
      <c r="V80" s="36">
        <v>3.1134310030743104E-2</v>
      </c>
      <c r="W80" s="36">
        <v>3.6369863899751047E-2</v>
      </c>
      <c r="X80" s="36">
        <v>3.7859996967719425E-2</v>
      </c>
      <c r="Y80" s="36">
        <v>2.070540417517335E-3</v>
      </c>
      <c r="Z80" s="36">
        <v>1.6803796914033771E-3</v>
      </c>
      <c r="AA80" s="36">
        <v>1.351323223122139E-3</v>
      </c>
      <c r="AB80" s="36">
        <v>1.9713599922227504E-3</v>
      </c>
      <c r="AC80" s="36">
        <v>2.59570434082949E-3</v>
      </c>
      <c r="AD80" s="36">
        <v>3.3593499456842468E-3</v>
      </c>
      <c r="AE80" s="36">
        <v>4.3905907443592667E-3</v>
      </c>
      <c r="AF80" s="36">
        <v>5.2503169752179122E-3</v>
      </c>
      <c r="AG80" s="36">
        <v>5.863366547816916E-3</v>
      </c>
      <c r="AH80" s="36">
        <v>7.1988377580409837E-3</v>
      </c>
      <c r="AI80" s="36">
        <v>1.1707394494813552E-2</v>
      </c>
      <c r="AJ80" s="36">
        <v>2.0771168920399579E-2</v>
      </c>
      <c r="AK80" s="36">
        <v>2.531666577912367E-2</v>
      </c>
      <c r="AL80" s="36">
        <v>2.6631699397139972E-2</v>
      </c>
      <c r="AM80" s="36">
        <v>4.7372598526445459E-3</v>
      </c>
      <c r="AN80" s="36">
        <v>5.4219087644098727E-3</v>
      </c>
      <c r="AO80" s="36">
        <v>4.8983760292339593E-3</v>
      </c>
      <c r="AP80" s="36">
        <v>5.657629029592424E-3</v>
      </c>
      <c r="AQ80" s="36">
        <v>5.9994388582887146E-3</v>
      </c>
      <c r="AR80" s="36">
        <v>5.8243928749973474E-3</v>
      </c>
      <c r="AS80" s="36">
        <v>7.1361098980984279E-3</v>
      </c>
      <c r="AT80" s="36">
        <v>8.5815595996800251E-3</v>
      </c>
      <c r="AU80" s="36">
        <v>9.0244544999694958E-3</v>
      </c>
      <c r="AV80" s="36">
        <v>1.0733041545332582E-2</v>
      </c>
      <c r="AW80" s="36">
        <v>1.6461454099848706E-2</v>
      </c>
      <c r="AX80" s="36">
        <v>2.7087474544635733E-2</v>
      </c>
      <c r="AY80" s="36">
        <v>3.2189308726356586E-2</v>
      </c>
      <c r="AZ80" s="36">
        <v>3.4066467143605138E-2</v>
      </c>
      <c r="BA80" s="36">
        <v>1.2649981473311931E-3</v>
      </c>
      <c r="BB80" s="36">
        <v>2.035581927423129E-3</v>
      </c>
      <c r="BC80" s="36">
        <v>1.9239616012056164E-3</v>
      </c>
      <c r="BD80" s="36">
        <v>2.5724004121969136E-3</v>
      </c>
      <c r="BE80" s="36">
        <v>3.0614807605534554E-3</v>
      </c>
      <c r="BF80" s="36">
        <v>3.3492287602652198E-3</v>
      </c>
      <c r="BG80" s="36">
        <v>4.9329374416204859E-3</v>
      </c>
      <c r="BH80" s="36">
        <v>6.3877767950044117E-3</v>
      </c>
      <c r="BI80" s="36">
        <v>5.1538521348669722E-3</v>
      </c>
      <c r="BJ80" s="36">
        <v>6.5450307487478297E-3</v>
      </c>
      <c r="BK80" s="36">
        <v>1.2575353571083636E-2</v>
      </c>
      <c r="BL80" s="36">
        <v>2.8548280691513109E-2</v>
      </c>
      <c r="BM80" s="36">
        <v>3.4567145243701178E-2</v>
      </c>
      <c r="BN80" s="36">
        <v>3.703283808703324E-2</v>
      </c>
    </row>
    <row r="81" spans="1:66">
      <c r="A81" s="36">
        <v>0.96797758395374145</v>
      </c>
      <c r="B81" s="36">
        <v>1.3489390558940335</v>
      </c>
      <c r="C81" s="36">
        <v>1.6121450400225019</v>
      </c>
      <c r="D81" s="36">
        <v>0.31920001387909153</v>
      </c>
      <c r="E81" s="36">
        <v>2.7970372405700474</v>
      </c>
      <c r="F81" s="36">
        <v>10.936493788935765</v>
      </c>
      <c r="G81" s="36">
        <v>219.83984293537401</v>
      </c>
      <c r="H81" s="36">
        <v>15118.762283166699</v>
      </c>
      <c r="I81" s="36">
        <v>1679.281987971742</v>
      </c>
      <c r="J81" s="36">
        <v>1.2612810289090595</v>
      </c>
      <c r="K81" s="36">
        <v>1.1112711371391571E-2</v>
      </c>
      <c r="L81" s="36">
        <v>1.1004011074836896E-2</v>
      </c>
      <c r="M81" s="36">
        <v>1.067943648279971E-2</v>
      </c>
      <c r="N81" s="36">
        <v>1.1985512315985406E-2</v>
      </c>
      <c r="O81" s="36">
        <v>1.2890820343463057E-2</v>
      </c>
      <c r="P81" s="36">
        <v>1.4571903150411888E-2</v>
      </c>
      <c r="Q81" s="36">
        <v>1.4217966313346417E-2</v>
      </c>
      <c r="R81" s="36">
        <v>1.5737364796664519E-2</v>
      </c>
      <c r="S81" s="36">
        <v>1.616142413338089E-2</v>
      </c>
      <c r="T81" s="36">
        <v>2.0109491342060377E-2</v>
      </c>
      <c r="U81" s="36">
        <v>2.3140916421764388E-2</v>
      </c>
      <c r="V81" s="36">
        <v>3.2030121077972415E-2</v>
      </c>
      <c r="W81" s="36">
        <v>3.7335232186667185E-2</v>
      </c>
      <c r="X81" s="36">
        <v>3.8783712638514406E-2</v>
      </c>
      <c r="Y81" s="36">
        <v>1.3738830528757491E-3</v>
      </c>
      <c r="Z81" s="36">
        <v>1.3798291221857899E-3</v>
      </c>
      <c r="AA81" s="36">
        <v>1.2595799776289464E-3</v>
      </c>
      <c r="AB81" s="36">
        <v>1.8542597544431003E-3</v>
      </c>
      <c r="AC81" s="36">
        <v>2.4871879249293728E-3</v>
      </c>
      <c r="AD81" s="36">
        <v>3.2951062020368477E-3</v>
      </c>
      <c r="AE81" s="36">
        <v>4.3475658035743532E-3</v>
      </c>
      <c r="AF81" s="36">
        <v>5.2183196339401694E-3</v>
      </c>
      <c r="AG81" s="36">
        <v>6.1740796697933031E-3</v>
      </c>
      <c r="AH81" s="36">
        <v>7.6482043195114351E-3</v>
      </c>
      <c r="AI81" s="36">
        <v>1.2328389972863644E-2</v>
      </c>
      <c r="AJ81" s="36">
        <v>2.1546829943442238E-2</v>
      </c>
      <c r="AK81" s="36">
        <v>2.6084128177252707E-2</v>
      </c>
      <c r="AL81" s="36">
        <v>2.734955972682384E-2</v>
      </c>
      <c r="AM81" s="36">
        <v>4.7365437934641175E-3</v>
      </c>
      <c r="AN81" s="36">
        <v>5.3308626160792983E-3</v>
      </c>
      <c r="AO81" s="36">
        <v>4.8682321205115783E-3</v>
      </c>
      <c r="AP81" s="36">
        <v>5.6280491395785297E-3</v>
      </c>
      <c r="AQ81" s="36">
        <v>5.9748613405370158E-3</v>
      </c>
      <c r="AR81" s="36">
        <v>5.7808362696491816E-3</v>
      </c>
      <c r="AS81" s="36">
        <v>7.0804184811954669E-3</v>
      </c>
      <c r="AT81" s="36">
        <v>8.5360589330650723E-3</v>
      </c>
      <c r="AU81" s="36">
        <v>9.3321572625895549E-3</v>
      </c>
      <c r="AV81" s="36">
        <v>1.1342499020988519E-2</v>
      </c>
      <c r="AW81" s="36">
        <v>1.7313438833944424E-2</v>
      </c>
      <c r="AX81" s="36">
        <v>2.7998503805452581E-2</v>
      </c>
      <c r="AY81" s="36">
        <v>3.3033081783652128E-2</v>
      </c>
      <c r="AZ81" s="36">
        <v>3.4845410129587348E-2</v>
      </c>
      <c r="BA81" s="36">
        <v>1.1646071974763818E-3</v>
      </c>
      <c r="BB81" s="36">
        <v>1.7258809499424059E-3</v>
      </c>
      <c r="BC81" s="36">
        <v>1.8012583733817765E-3</v>
      </c>
      <c r="BD81" s="36">
        <v>2.4460098389668056E-3</v>
      </c>
      <c r="BE81" s="36">
        <v>2.9671476136022587E-3</v>
      </c>
      <c r="BF81" s="36">
        <v>3.2674025501945076E-3</v>
      </c>
      <c r="BG81" s="36">
        <v>4.8580483559158925E-3</v>
      </c>
      <c r="BH81" s="36">
        <v>6.3327268510444679E-3</v>
      </c>
      <c r="BI81" s="36">
        <v>5.4374023400945515E-3</v>
      </c>
      <c r="BJ81" s="36">
        <v>6.8670761872399741E-3</v>
      </c>
      <c r="BK81" s="36">
        <v>1.3051985706894953E-2</v>
      </c>
      <c r="BL81" s="36">
        <v>2.9260033756607611E-2</v>
      </c>
      <c r="BM81" s="36">
        <v>3.5200679189574674E-2</v>
      </c>
      <c r="BN81" s="36">
        <v>3.771616237424992E-2</v>
      </c>
    </row>
    <row r="82" spans="1:66">
      <c r="A82" s="36">
        <v>0.9741632152439923</v>
      </c>
      <c r="B82" s="36">
        <v>1.3497015778930235</v>
      </c>
      <c r="C82" s="36">
        <v>1.6188216396563755</v>
      </c>
      <c r="D82" s="36">
        <v>0.32049606181455126</v>
      </c>
      <c r="E82" s="36">
        <v>2.8085811191851229</v>
      </c>
      <c r="F82" s="36">
        <v>10.899874199341982</v>
      </c>
      <c r="G82" s="36">
        <v>221.28631784107503</v>
      </c>
      <c r="H82" s="36">
        <v>15118.767131570761</v>
      </c>
      <c r="I82" s="36">
        <v>1679.2868502739836</v>
      </c>
      <c r="J82" s="36">
        <v>1.2635083154169438</v>
      </c>
      <c r="K82" s="36">
        <v>1.1072880308969147E-2</v>
      </c>
      <c r="L82" s="36">
        <v>1.117359949098475E-2</v>
      </c>
      <c r="M82" s="36">
        <v>1.0672510783262147E-2</v>
      </c>
      <c r="N82" s="36">
        <v>1.2040307798080447E-2</v>
      </c>
      <c r="O82" s="36">
        <v>1.2850269124585107E-2</v>
      </c>
      <c r="P82" s="36">
        <v>1.4596694140232423E-2</v>
      </c>
      <c r="Q82" s="36">
        <v>1.4248014818562259E-2</v>
      </c>
      <c r="R82" s="36">
        <v>1.5184075120854686E-2</v>
      </c>
      <c r="S82" s="36">
        <v>1.6108659590398762E-2</v>
      </c>
      <c r="T82" s="36">
        <v>2.0080388886681799E-2</v>
      </c>
      <c r="U82" s="36">
        <v>2.3061821224141615E-2</v>
      </c>
      <c r="V82" s="36">
        <v>3.180158210994509E-2</v>
      </c>
      <c r="W82" s="36">
        <v>3.7051425285052481E-2</v>
      </c>
      <c r="X82" s="36">
        <v>3.8516024868508157E-2</v>
      </c>
      <c r="Y82" s="36">
        <v>2.1891682836591726E-3</v>
      </c>
      <c r="Z82" s="36">
        <v>1.4655769578172286E-3</v>
      </c>
      <c r="AA82" s="36">
        <v>1.2967934532970072E-3</v>
      </c>
      <c r="AB82" s="36">
        <v>1.9125852690571614E-3</v>
      </c>
      <c r="AC82" s="36">
        <v>2.5304986577981687E-3</v>
      </c>
      <c r="AD82" s="36">
        <v>3.3271439013775163E-3</v>
      </c>
      <c r="AE82" s="36">
        <v>4.3737830275176271E-3</v>
      </c>
      <c r="AF82" s="36">
        <v>5.2358086746984922E-3</v>
      </c>
      <c r="AG82" s="36">
        <v>6.0949220863225247E-3</v>
      </c>
      <c r="AH82" s="36">
        <v>7.5357591916205661E-3</v>
      </c>
      <c r="AI82" s="36">
        <v>1.2233323544235897E-2</v>
      </c>
      <c r="AJ82" s="36">
        <v>2.1420666108951516E-2</v>
      </c>
      <c r="AK82" s="36">
        <v>2.5858607047545883E-2</v>
      </c>
      <c r="AL82" s="36">
        <v>2.7145558720177942E-2</v>
      </c>
      <c r="AM82" s="36">
        <v>4.6914280489035159E-3</v>
      </c>
      <c r="AN82" s="36">
        <v>5.2859230379748295E-3</v>
      </c>
      <c r="AO82" s="36">
        <v>4.8600550727586882E-3</v>
      </c>
      <c r="AP82" s="36">
        <v>5.631323287960518E-3</v>
      </c>
      <c r="AQ82" s="36">
        <v>5.9813774497728869E-3</v>
      </c>
      <c r="AR82" s="36">
        <v>5.7998406113756659E-3</v>
      </c>
      <c r="AS82" s="36">
        <v>7.1063329619722379E-3</v>
      </c>
      <c r="AT82" s="36">
        <v>8.5588632482137723E-3</v>
      </c>
      <c r="AU82" s="36">
        <v>9.3599366623374272E-3</v>
      </c>
      <c r="AV82" s="36">
        <v>1.1315239989780179E-2</v>
      </c>
      <c r="AW82" s="36">
        <v>1.7302905312942461E-2</v>
      </c>
      <c r="AX82" s="36">
        <v>2.7877485875588262E-2</v>
      </c>
      <c r="AY82" s="36">
        <v>3.2867470846445319E-2</v>
      </c>
      <c r="AZ82" s="36">
        <v>3.4660195552851408E-2</v>
      </c>
      <c r="BA82" s="36">
        <v>9.8188329785008272E-4</v>
      </c>
      <c r="BB82" s="36">
        <v>1.8510735911174058E-3</v>
      </c>
      <c r="BC82" s="36">
        <v>1.8535404896565602E-3</v>
      </c>
      <c r="BD82" s="36">
        <v>2.5003749125679041E-3</v>
      </c>
      <c r="BE82" s="36">
        <v>3.0121889043682234E-3</v>
      </c>
      <c r="BF82" s="36">
        <v>3.3065688042006225E-3</v>
      </c>
      <c r="BG82" s="36">
        <v>4.9061954524511073E-3</v>
      </c>
      <c r="BH82" s="36">
        <v>6.3843443894913438E-3</v>
      </c>
      <c r="BI82" s="36">
        <v>5.3442532431280786E-3</v>
      </c>
      <c r="BJ82" s="36">
        <v>6.7647899595866482E-3</v>
      </c>
      <c r="BK82" s="36">
        <v>1.2973066549557133E-2</v>
      </c>
      <c r="BL82" s="36">
        <v>2.9083741256720794E-2</v>
      </c>
      <c r="BM82" s="36">
        <v>3.5020027176598932E-2</v>
      </c>
      <c r="BN82" s="36">
        <v>3.7480405144790833E-2</v>
      </c>
    </row>
    <row r="83" spans="1:66">
      <c r="A83" s="36">
        <v>0.96303603084538869</v>
      </c>
      <c r="B83" s="36">
        <v>1.3394804901300221</v>
      </c>
      <c r="C83" s="36">
        <v>1.6022397485460265</v>
      </c>
      <c r="D83" s="36">
        <v>0.31534617701669532</v>
      </c>
      <c r="E83" s="36">
        <v>2.7817103663091176</v>
      </c>
      <c r="F83" s="36">
        <v>10.885505387181546</v>
      </c>
      <c r="G83" s="36">
        <v>221.56516113984097</v>
      </c>
      <c r="H83" s="36">
        <v>15118.760848490736</v>
      </c>
      <c r="I83" s="36">
        <v>1679.2801001670953</v>
      </c>
      <c r="J83" s="36">
        <v>1.216640984563788</v>
      </c>
      <c r="K83" s="36">
        <v>1.1018815903235847E-2</v>
      </c>
      <c r="L83" s="36">
        <v>1.1033415454420588E-2</v>
      </c>
      <c r="M83" s="36">
        <v>1.0765603070027203E-2</v>
      </c>
      <c r="N83" s="36">
        <v>1.204390118061178E-2</v>
      </c>
      <c r="O83" s="36">
        <v>1.2934025376112917E-2</v>
      </c>
      <c r="P83" s="36">
        <v>1.4661825662832926E-2</v>
      </c>
      <c r="Q83" s="36">
        <v>1.4213868021895603E-2</v>
      </c>
      <c r="R83" s="36">
        <v>1.4967459861970176E-2</v>
      </c>
      <c r="S83" s="36">
        <v>1.5735595030280086E-2</v>
      </c>
      <c r="T83" s="36">
        <v>1.9543792705613003E-2</v>
      </c>
      <c r="U83" s="36">
        <v>2.2274434438504562E-2</v>
      </c>
      <c r="V83" s="36">
        <v>3.1060626444366392E-2</v>
      </c>
      <c r="W83" s="36">
        <v>3.6295331512097018E-2</v>
      </c>
      <c r="X83" s="36">
        <v>3.7852474066811553E-2</v>
      </c>
      <c r="Y83" s="36">
        <v>2.0351081972323653E-3</v>
      </c>
      <c r="Z83" s="36">
        <v>1.1704504325423062E-3</v>
      </c>
      <c r="AA83" s="36">
        <v>1.2445617548203917E-3</v>
      </c>
      <c r="AB83" s="36">
        <v>1.862672765093797E-3</v>
      </c>
      <c r="AC83" s="36">
        <v>2.4736062503926894E-3</v>
      </c>
      <c r="AD83" s="36">
        <v>3.2537986645603477E-3</v>
      </c>
      <c r="AE83" s="36">
        <v>4.3096388608870658E-3</v>
      </c>
      <c r="AF83" s="36">
        <v>5.1920521345145861E-3</v>
      </c>
      <c r="AG83" s="36">
        <v>5.8987426052544249E-3</v>
      </c>
      <c r="AH83" s="36">
        <v>7.248013272094257E-3</v>
      </c>
      <c r="AI83" s="36">
        <v>1.1784586073263282E-2</v>
      </c>
      <c r="AJ83" s="36">
        <v>2.1014110256298645E-2</v>
      </c>
      <c r="AK83" s="36">
        <v>2.5591682145641916E-2</v>
      </c>
      <c r="AL83" s="36">
        <v>2.6918314371599496E-2</v>
      </c>
      <c r="AM83" s="36">
        <v>4.662679812683734E-3</v>
      </c>
      <c r="AN83" s="36">
        <v>5.2539023624673066E-3</v>
      </c>
      <c r="AO83" s="36">
        <v>4.8512512577987997E-3</v>
      </c>
      <c r="AP83" s="36">
        <v>5.6211952901409814E-3</v>
      </c>
      <c r="AQ83" s="36">
        <v>5.9725431389983886E-3</v>
      </c>
      <c r="AR83" s="36">
        <v>5.7668622303740412E-3</v>
      </c>
      <c r="AS83" s="36">
        <v>7.0527045070138007E-3</v>
      </c>
      <c r="AT83" s="36">
        <v>8.4991095039777722E-3</v>
      </c>
      <c r="AU83" s="36">
        <v>8.9703547594067526E-3</v>
      </c>
      <c r="AV83" s="36">
        <v>1.0737825729002596E-2</v>
      </c>
      <c r="AW83" s="36">
        <v>1.6461076987044732E-2</v>
      </c>
      <c r="AX83" s="36">
        <v>2.7138746481083012E-2</v>
      </c>
      <c r="AY83" s="36">
        <v>3.2312889680979999E-2</v>
      </c>
      <c r="AZ83" s="36">
        <v>3.4300861712443093E-2</v>
      </c>
      <c r="BA83" s="36">
        <v>1.3250007640929215E-3</v>
      </c>
      <c r="BB83" s="36">
        <v>1.6462540098591879E-3</v>
      </c>
      <c r="BC83" s="36">
        <v>1.7897208597579815E-3</v>
      </c>
      <c r="BD83" s="36">
        <v>2.4515181252935123E-3</v>
      </c>
      <c r="BE83" s="36">
        <v>2.9609633406550355E-3</v>
      </c>
      <c r="BF83" s="36">
        <v>3.2497241877359386E-3</v>
      </c>
      <c r="BG83" s="36">
        <v>4.8595469660244577E-3</v>
      </c>
      <c r="BH83" s="36">
        <v>6.3589246910838951E-3</v>
      </c>
      <c r="BI83" s="36">
        <v>5.0832366968885977E-3</v>
      </c>
      <c r="BJ83" s="36">
        <v>6.44557390784778E-3</v>
      </c>
      <c r="BK83" s="36">
        <v>1.2253745377424335E-2</v>
      </c>
      <c r="BL83" s="36">
        <v>2.8239901525366335E-2</v>
      </c>
      <c r="BM83" s="36">
        <v>3.4348381256251455E-2</v>
      </c>
      <c r="BN83" s="36">
        <v>3.6944902939965156E-2</v>
      </c>
    </row>
    <row r="84" spans="1:66">
      <c r="A84" s="36">
        <v>0.97843268359543656</v>
      </c>
      <c r="B84" s="36">
        <v>1.3573873632526297</v>
      </c>
      <c r="C84" s="36">
        <v>1.6329396626350803</v>
      </c>
      <c r="D84" s="36">
        <v>0.32388637013397809</v>
      </c>
      <c r="E84" s="36">
        <v>2.8557527102750933</v>
      </c>
      <c r="F84" s="36">
        <v>10.71508215060479</v>
      </c>
      <c r="G84" s="36">
        <v>226.11133368018477</v>
      </c>
      <c r="H84" s="36">
        <v>15118.763592525094</v>
      </c>
      <c r="I84" s="36">
        <v>1679.2821379980142</v>
      </c>
      <c r="J84" s="36">
        <v>1.2627960124346287</v>
      </c>
      <c r="K84" s="36">
        <v>1.1095212408884621E-2</v>
      </c>
      <c r="L84" s="36">
        <v>1.0640930039624984E-2</v>
      </c>
      <c r="M84" s="36">
        <v>1.0627624988453641E-2</v>
      </c>
      <c r="N84" s="36">
        <v>1.1978264751322928E-2</v>
      </c>
      <c r="O84" s="36">
        <v>1.2872877371794522E-2</v>
      </c>
      <c r="P84" s="36">
        <v>1.4606696835528465E-2</v>
      </c>
      <c r="Q84" s="36">
        <v>1.4221633059306699E-2</v>
      </c>
      <c r="R84" s="36">
        <v>1.5370988070697178E-2</v>
      </c>
      <c r="S84" s="36">
        <v>1.6421359108448778E-2</v>
      </c>
      <c r="T84" s="36">
        <v>2.0484611443923606E-2</v>
      </c>
      <c r="U84" s="36">
        <v>2.3613284720961657E-2</v>
      </c>
      <c r="V84" s="36">
        <v>3.2471149102015026E-2</v>
      </c>
      <c r="W84" s="36">
        <v>3.771426962107928E-2</v>
      </c>
      <c r="X84" s="36">
        <v>3.9130106333343864E-2</v>
      </c>
      <c r="Y84" s="36">
        <v>1.6975397606194768E-3</v>
      </c>
      <c r="Z84" s="36">
        <v>1.5274923399318649E-3</v>
      </c>
      <c r="AA84" s="36">
        <v>1.2967099528504479E-3</v>
      </c>
      <c r="AB84" s="36">
        <v>1.9158770310873734E-3</v>
      </c>
      <c r="AC84" s="36">
        <v>2.5435015651091618E-3</v>
      </c>
      <c r="AD84" s="36">
        <v>3.3414543759282063E-3</v>
      </c>
      <c r="AE84" s="36">
        <v>4.3747830300723415E-3</v>
      </c>
      <c r="AF84" s="36">
        <v>5.2423986459154415E-3</v>
      </c>
      <c r="AG84" s="36">
        <v>6.228030547539648E-3</v>
      </c>
      <c r="AH84" s="36">
        <v>7.7081186101940697E-3</v>
      </c>
      <c r="AI84" s="36">
        <v>1.2376980733779326E-2</v>
      </c>
      <c r="AJ84" s="36">
        <v>2.1541911317717904E-2</v>
      </c>
      <c r="AK84" s="36">
        <v>2.5988224025942416E-2</v>
      </c>
      <c r="AL84" s="36">
        <v>2.724497694064467E-2</v>
      </c>
      <c r="AM84" s="36">
        <v>4.7641865200872824E-3</v>
      </c>
      <c r="AN84" s="36">
        <v>5.4013428646649481E-3</v>
      </c>
      <c r="AO84" s="36">
        <v>4.8845390306491562E-3</v>
      </c>
      <c r="AP84" s="36">
        <v>5.6462856657426251E-3</v>
      </c>
      <c r="AQ84" s="36">
        <v>5.9962979373809873E-3</v>
      </c>
      <c r="AR84" s="36">
        <v>5.8202695873197539E-3</v>
      </c>
      <c r="AS84" s="36">
        <v>7.1269382584594069E-3</v>
      </c>
      <c r="AT84" s="36">
        <v>8.5695626570506389E-3</v>
      </c>
      <c r="AU84" s="36">
        <v>9.5603895729248455E-3</v>
      </c>
      <c r="AV84" s="36">
        <v>1.1551288716370064E-2</v>
      </c>
      <c r="AW84" s="36">
        <v>1.7552886790356961E-2</v>
      </c>
      <c r="AX84" s="36">
        <v>2.8199394467331405E-2</v>
      </c>
      <c r="AY84" s="36">
        <v>3.3213599829298127E-2</v>
      </c>
      <c r="AZ84" s="36">
        <v>3.4947356828584721E-2</v>
      </c>
      <c r="BA84" s="36">
        <v>9.4449750545791595E-4</v>
      </c>
      <c r="BB84" s="36">
        <v>1.8172785404561246E-3</v>
      </c>
      <c r="BC84" s="36">
        <v>1.8574671175075415E-3</v>
      </c>
      <c r="BD84" s="36">
        <v>2.5090162731857281E-3</v>
      </c>
      <c r="BE84" s="36">
        <v>3.0144446188927593E-3</v>
      </c>
      <c r="BF84" s="36">
        <v>3.3156949148436137E-3</v>
      </c>
      <c r="BG84" s="36">
        <v>4.917420442091959E-3</v>
      </c>
      <c r="BH84" s="36">
        <v>6.3947920880477226E-3</v>
      </c>
      <c r="BI84" s="36">
        <v>5.6583542345638501E-3</v>
      </c>
      <c r="BJ84" s="36">
        <v>7.264963374321449E-3</v>
      </c>
      <c r="BK84" s="36">
        <v>1.3624623420148689E-2</v>
      </c>
      <c r="BL84" s="36">
        <v>2.9909425822049768E-2</v>
      </c>
      <c r="BM84" s="36">
        <v>3.5716662674561979E-2</v>
      </c>
      <c r="BN84" s="36">
        <v>3.8125278624592751E-2</v>
      </c>
    </row>
    <row r="85" spans="1:66">
      <c r="A85" s="36">
        <v>0.97720155235069639</v>
      </c>
      <c r="B85" s="36">
        <v>1.3576980307477242</v>
      </c>
      <c r="C85" s="36">
        <v>1.6292698334382385</v>
      </c>
      <c r="D85" s="36">
        <v>0.32427291380314555</v>
      </c>
      <c r="E85" s="36">
        <v>2.8237601441976179</v>
      </c>
      <c r="F85" s="36">
        <v>11.054032506150945</v>
      </c>
      <c r="G85" s="36">
        <v>220.36887343881682</v>
      </c>
      <c r="H85" s="36">
        <v>15118.762366562831</v>
      </c>
      <c r="I85" s="36">
        <v>1679.2823206405737</v>
      </c>
      <c r="J85" s="36">
        <v>1.3001314472869752</v>
      </c>
      <c r="K85" s="36">
        <v>1.1461551369303605E-2</v>
      </c>
      <c r="L85" s="36">
        <v>1.1155798730491384E-2</v>
      </c>
      <c r="M85" s="36">
        <v>1.0763794531292576E-2</v>
      </c>
      <c r="N85" s="36">
        <v>1.2034678082103081E-2</v>
      </c>
      <c r="O85" s="36">
        <v>1.2975672205000028E-2</v>
      </c>
      <c r="P85" s="36">
        <v>1.4729162306678097E-2</v>
      </c>
      <c r="Q85" s="36">
        <v>1.4308970047705604E-2</v>
      </c>
      <c r="R85" s="36">
        <v>1.5142518436176219E-2</v>
      </c>
      <c r="S85" s="36">
        <v>1.6159943994274239E-2</v>
      </c>
      <c r="T85" s="36">
        <v>2.0097952926816737E-2</v>
      </c>
      <c r="U85" s="36">
        <v>2.3183220341515157E-2</v>
      </c>
      <c r="V85" s="36">
        <v>3.2110267896896624E-2</v>
      </c>
      <c r="W85" s="36">
        <v>3.7374273770125456E-2</v>
      </c>
      <c r="X85" s="36">
        <v>3.8771522175354713E-2</v>
      </c>
      <c r="Y85" s="36">
        <v>2.0294956886311379E-3</v>
      </c>
      <c r="Z85" s="36">
        <v>1.4782946609003267E-3</v>
      </c>
      <c r="AA85" s="36">
        <v>1.2843691207486245E-3</v>
      </c>
      <c r="AB85" s="36">
        <v>1.8788513823251975E-3</v>
      </c>
      <c r="AC85" s="36">
        <v>2.4941378189169594E-3</v>
      </c>
      <c r="AD85" s="36">
        <v>3.3271621529339553E-3</v>
      </c>
      <c r="AE85" s="36">
        <v>4.360800933196806E-3</v>
      </c>
      <c r="AF85" s="36">
        <v>5.2361416910984091E-3</v>
      </c>
      <c r="AG85" s="36">
        <v>6.1298803863705327E-3</v>
      </c>
      <c r="AH85" s="36">
        <v>7.6347495096614516E-3</v>
      </c>
      <c r="AI85" s="36">
        <v>1.2277604488004721E-2</v>
      </c>
      <c r="AJ85" s="36">
        <v>2.1463222847363964E-2</v>
      </c>
      <c r="AK85" s="36">
        <v>2.5884780607898786E-2</v>
      </c>
      <c r="AL85" s="36">
        <v>2.7164485482075722E-2</v>
      </c>
      <c r="AM85" s="36">
        <v>4.7987346855948715E-3</v>
      </c>
      <c r="AN85" s="36">
        <v>5.4601385310821633E-3</v>
      </c>
      <c r="AO85" s="36">
        <v>4.8997466282415534E-3</v>
      </c>
      <c r="AP85" s="36">
        <v>5.6464744284329509E-3</v>
      </c>
      <c r="AQ85" s="36">
        <v>5.9759098911091593E-3</v>
      </c>
      <c r="AR85" s="36">
        <v>5.8097761595255126E-3</v>
      </c>
      <c r="AS85" s="36">
        <v>7.1291636108185823E-3</v>
      </c>
      <c r="AT85" s="36">
        <v>8.5950948811404602E-3</v>
      </c>
      <c r="AU85" s="36">
        <v>9.6200323651318975E-3</v>
      </c>
      <c r="AV85" s="36">
        <v>1.1605541564699911E-2</v>
      </c>
      <c r="AW85" s="36">
        <v>1.7607469696916303E-2</v>
      </c>
      <c r="AX85" s="36">
        <v>2.8061719633192119E-2</v>
      </c>
      <c r="AY85" s="36">
        <v>3.2983580624464458E-2</v>
      </c>
      <c r="AZ85" s="36">
        <v>3.4688216495062166E-2</v>
      </c>
      <c r="BA85" s="36">
        <v>6.0440518381108357E-4</v>
      </c>
      <c r="BB85" s="36">
        <v>1.9861951884738729E-3</v>
      </c>
      <c r="BC85" s="36">
        <v>1.8841837464486557E-3</v>
      </c>
      <c r="BD85" s="36">
        <v>2.4959226613313228E-3</v>
      </c>
      <c r="BE85" s="36">
        <v>2.991933892059007E-3</v>
      </c>
      <c r="BF85" s="36">
        <v>3.2972836417335017E-3</v>
      </c>
      <c r="BG85" s="36">
        <v>4.8961833360373639E-3</v>
      </c>
      <c r="BH85" s="36">
        <v>6.373896770532371E-3</v>
      </c>
      <c r="BI85" s="36">
        <v>5.4642489034884226E-3</v>
      </c>
      <c r="BJ85" s="36">
        <v>6.9512279258544364E-3</v>
      </c>
      <c r="BK85" s="36">
        <v>1.3258522323437891E-2</v>
      </c>
      <c r="BL85" s="36">
        <v>2.9404928429755249E-2</v>
      </c>
      <c r="BM85" s="36">
        <v>3.5294252021818871E-2</v>
      </c>
      <c r="BN85" s="36">
        <v>3.7677413444991897E-2</v>
      </c>
    </row>
    <row r="86" spans="1:66">
      <c r="A86" s="36">
        <v>0.97071069974030133</v>
      </c>
      <c r="B86" s="36">
        <v>1.3482555614320946</v>
      </c>
      <c r="C86" s="36">
        <v>1.6096816926377049</v>
      </c>
      <c r="D86" s="36">
        <v>0.31870769119499764</v>
      </c>
      <c r="E86" s="36">
        <v>2.8035110906424663</v>
      </c>
      <c r="F86" s="36">
        <v>10.835396974362627</v>
      </c>
      <c r="G86" s="36">
        <v>221.46750748395456</v>
      </c>
      <c r="H86" s="36">
        <v>15118.758863758361</v>
      </c>
      <c r="I86" s="36">
        <v>1679.2797984641097</v>
      </c>
      <c r="J86" s="36">
        <v>1.2361241150008766</v>
      </c>
      <c r="K86" s="36">
        <v>1.1212597398687326E-2</v>
      </c>
      <c r="L86" s="36">
        <v>1.1302193411351242E-2</v>
      </c>
      <c r="M86" s="36">
        <v>1.0804137902732699E-2</v>
      </c>
      <c r="N86" s="36">
        <v>1.2026950027265797E-2</v>
      </c>
      <c r="O86" s="36">
        <v>1.2889038074561363E-2</v>
      </c>
      <c r="P86" s="36">
        <v>1.466283045249874E-2</v>
      </c>
      <c r="Q86" s="36">
        <v>1.4245546985930469E-2</v>
      </c>
      <c r="R86" s="36">
        <v>1.467499333272645E-2</v>
      </c>
      <c r="S86" s="36">
        <v>1.562065131857115E-2</v>
      </c>
      <c r="T86" s="36">
        <v>1.9324701436180116E-2</v>
      </c>
      <c r="U86" s="36">
        <v>2.2006943588668573E-2</v>
      </c>
      <c r="V86" s="36">
        <v>3.068984530244822E-2</v>
      </c>
      <c r="W86" s="36">
        <v>3.5967752694077662E-2</v>
      </c>
      <c r="X86" s="36">
        <v>3.7511228498457234E-2</v>
      </c>
      <c r="Y86" s="36">
        <v>2.3687977034116113E-3</v>
      </c>
      <c r="Z86" s="36">
        <v>1.3415807381660773E-3</v>
      </c>
      <c r="AA86" s="36">
        <v>1.2727823809309949E-3</v>
      </c>
      <c r="AB86" s="36">
        <v>1.8834326829220622E-3</v>
      </c>
      <c r="AC86" s="36">
        <v>2.5003052168498484E-3</v>
      </c>
      <c r="AD86" s="36">
        <v>3.2730790217023755E-3</v>
      </c>
      <c r="AE86" s="36">
        <v>4.3229070180186577E-3</v>
      </c>
      <c r="AF86" s="36">
        <v>5.1765194047364719E-3</v>
      </c>
      <c r="AG86" s="36">
        <v>5.6733817373149364E-3</v>
      </c>
      <c r="AH86" s="36">
        <v>6.9444598377681093E-3</v>
      </c>
      <c r="AI86" s="36">
        <v>1.1380644847511716E-2</v>
      </c>
      <c r="AJ86" s="36">
        <v>2.0555069230744068E-2</v>
      </c>
      <c r="AK86" s="36">
        <v>2.522307406233814E-2</v>
      </c>
      <c r="AL86" s="36">
        <v>2.6528617261499816E-2</v>
      </c>
      <c r="AM86" s="36">
        <v>4.6959292803716354E-3</v>
      </c>
      <c r="AN86" s="36">
        <v>5.4051974885777334E-3</v>
      </c>
      <c r="AO86" s="36">
        <v>4.8845718160657027E-3</v>
      </c>
      <c r="AP86" s="36">
        <v>5.6379650528608632E-3</v>
      </c>
      <c r="AQ86" s="36">
        <v>5.9785835847510479E-3</v>
      </c>
      <c r="AR86" s="36">
        <v>5.7811316997994234E-3</v>
      </c>
      <c r="AS86" s="36">
        <v>7.0651586110075442E-3</v>
      </c>
      <c r="AT86" s="36">
        <v>8.5030441540820349E-3</v>
      </c>
      <c r="AU86" s="36">
        <v>8.8028210052036038E-3</v>
      </c>
      <c r="AV86" s="36">
        <v>1.0461208282073942E-2</v>
      </c>
      <c r="AW86" s="36">
        <v>1.6092600734479053E-2</v>
      </c>
      <c r="AX86" s="36">
        <v>2.6671445134614825E-2</v>
      </c>
      <c r="AY86" s="36">
        <v>3.1839031550043612E-2</v>
      </c>
      <c r="AZ86" s="36">
        <v>3.3883305416780363E-2</v>
      </c>
      <c r="BA86" s="36">
        <v>1.3146346267217291E-3</v>
      </c>
      <c r="BB86" s="36">
        <v>1.9210380744725099E-3</v>
      </c>
      <c r="BC86" s="36">
        <v>1.8739579722389949E-3</v>
      </c>
      <c r="BD86" s="36">
        <v>2.4935940228533846E-3</v>
      </c>
      <c r="BE86" s="36">
        <v>2.9989784781426407E-3</v>
      </c>
      <c r="BF86" s="36">
        <v>3.2683286860638408E-3</v>
      </c>
      <c r="BG86" s="36">
        <v>4.8615784391660716E-3</v>
      </c>
      <c r="BH86" s="36">
        <v>6.3408143474429574E-3</v>
      </c>
      <c r="BI86" s="36">
        <v>4.8940582179764379E-3</v>
      </c>
      <c r="BJ86" s="36">
        <v>6.2129976002041516E-3</v>
      </c>
      <c r="BK86" s="36">
        <v>1.2056049381754818E-2</v>
      </c>
      <c r="BL86" s="36">
        <v>2.8070308080827482E-2</v>
      </c>
      <c r="BM86" s="36">
        <v>3.4231128386107146E-2</v>
      </c>
      <c r="BN86" s="36">
        <v>3.6795465215195451E-2</v>
      </c>
    </row>
    <row r="87" spans="1:66">
      <c r="A87" s="36">
        <v>0.97022837650708693</v>
      </c>
      <c r="B87" s="36">
        <v>1.3486389190929313</v>
      </c>
      <c r="C87" s="36">
        <v>1.6149404136915464</v>
      </c>
      <c r="D87" s="36">
        <v>0.31922054099303709</v>
      </c>
      <c r="E87" s="36">
        <v>2.7828366096101904</v>
      </c>
      <c r="F87" s="36">
        <v>10.807969901743496</v>
      </c>
      <c r="G87" s="36">
        <v>220.99642742162754</v>
      </c>
      <c r="H87" s="36">
        <v>15118.757573404671</v>
      </c>
      <c r="I87" s="36">
        <v>1679.2766833451406</v>
      </c>
      <c r="J87" s="36">
        <v>1.2254173377944744</v>
      </c>
      <c r="K87" s="36">
        <v>1.1392119087876136E-2</v>
      </c>
      <c r="L87" s="36">
        <v>1.1177607690487909E-2</v>
      </c>
      <c r="M87" s="36">
        <v>1.0695508679460267E-2</v>
      </c>
      <c r="N87" s="36">
        <v>1.1958902215360443E-2</v>
      </c>
      <c r="O87" s="36">
        <v>1.2842640505580524E-2</v>
      </c>
      <c r="P87" s="36">
        <v>1.4623022592502222E-2</v>
      </c>
      <c r="Q87" s="36">
        <v>1.4142202093397366E-2</v>
      </c>
      <c r="R87" s="36">
        <v>1.5416474380537051E-2</v>
      </c>
      <c r="S87" s="36">
        <v>1.5878023988778266E-2</v>
      </c>
      <c r="T87" s="36">
        <v>1.9706802525711074E-2</v>
      </c>
      <c r="U87" s="36">
        <v>2.2615934865141494E-2</v>
      </c>
      <c r="V87" s="36">
        <v>3.1485913428704611E-2</v>
      </c>
      <c r="W87" s="36">
        <v>3.6847666260051239E-2</v>
      </c>
      <c r="X87" s="36">
        <v>3.8378953839248171E-2</v>
      </c>
      <c r="Y87" s="36">
        <v>1.4605725073195963E-3</v>
      </c>
      <c r="Z87" s="36">
        <v>1.3360948150084396E-3</v>
      </c>
      <c r="AA87" s="36">
        <v>1.2792533567177679E-3</v>
      </c>
      <c r="AB87" s="36">
        <v>1.9062723017512656E-3</v>
      </c>
      <c r="AC87" s="36">
        <v>2.5279288709307117E-3</v>
      </c>
      <c r="AD87" s="36">
        <v>3.3051211458731663E-3</v>
      </c>
      <c r="AE87" s="36">
        <v>4.3546936886167138E-3</v>
      </c>
      <c r="AF87" s="36">
        <v>5.2061430287084409E-3</v>
      </c>
      <c r="AG87" s="36">
        <v>5.7861774109590775E-3</v>
      </c>
      <c r="AH87" s="36">
        <v>7.1059116350640885E-3</v>
      </c>
      <c r="AI87" s="36">
        <v>1.1650578970319946E-2</v>
      </c>
      <c r="AJ87" s="36">
        <v>2.0912888237665513E-2</v>
      </c>
      <c r="AK87" s="36">
        <v>2.5582653339552161E-2</v>
      </c>
      <c r="AL87" s="36">
        <v>2.696412589454688E-2</v>
      </c>
      <c r="AM87" s="36">
        <v>4.6806916680526131E-3</v>
      </c>
      <c r="AN87" s="36">
        <v>5.5158776695863289E-3</v>
      </c>
      <c r="AO87" s="36">
        <v>4.9125117295302336E-3</v>
      </c>
      <c r="AP87" s="36">
        <v>5.6571808159619321E-3</v>
      </c>
      <c r="AQ87" s="36">
        <v>5.9933749451818973E-3</v>
      </c>
      <c r="AR87" s="36">
        <v>5.8046538786575303E-3</v>
      </c>
      <c r="AS87" s="36">
        <v>7.1079618612059558E-3</v>
      </c>
      <c r="AT87" s="36">
        <v>8.5572651892868046E-3</v>
      </c>
      <c r="AU87" s="36">
        <v>8.9892748637587679E-3</v>
      </c>
      <c r="AV87" s="36">
        <v>1.0737679889307546E-2</v>
      </c>
      <c r="AW87" s="36">
        <v>1.6517243296962063E-2</v>
      </c>
      <c r="AX87" s="36">
        <v>2.7294461392146873E-2</v>
      </c>
      <c r="AY87" s="36">
        <v>3.248858350694566E-2</v>
      </c>
      <c r="AZ87" s="36">
        <v>3.441371388872129E-2</v>
      </c>
      <c r="BA87" s="36">
        <v>1.5466959889208402E-3</v>
      </c>
      <c r="BB87" s="36">
        <v>2.0881950952983818E-3</v>
      </c>
      <c r="BC87" s="36">
        <v>1.9235388169342182E-3</v>
      </c>
      <c r="BD87" s="36">
        <v>2.5441592988306129E-3</v>
      </c>
      <c r="BE87" s="36">
        <v>3.0373789797998652E-3</v>
      </c>
      <c r="BF87" s="36">
        <v>3.3004862073183522E-3</v>
      </c>
      <c r="BG87" s="36">
        <v>4.8815427109292608E-3</v>
      </c>
      <c r="BH87" s="36">
        <v>6.343145989117541E-3</v>
      </c>
      <c r="BI87" s="36">
        <v>5.1917916787271373E-3</v>
      </c>
      <c r="BJ87" s="36">
        <v>6.5120238905375348E-3</v>
      </c>
      <c r="BK87" s="36">
        <v>1.2588912185839369E-2</v>
      </c>
      <c r="BL87" s="36">
        <v>2.8834797975201998E-2</v>
      </c>
      <c r="BM87" s="36">
        <v>3.4863336282451703E-2</v>
      </c>
      <c r="BN87" s="36">
        <v>3.7455835013243913E-2</v>
      </c>
    </row>
    <row r="88" spans="1:66">
      <c r="A88" s="36">
        <v>0.97340496229567897</v>
      </c>
      <c r="B88" s="36">
        <v>1.3565286632517444</v>
      </c>
      <c r="C88" s="36">
        <v>1.6225557879191577</v>
      </c>
      <c r="D88" s="36">
        <v>0.32143275755116141</v>
      </c>
      <c r="E88" s="36">
        <v>2.7917334933357809</v>
      </c>
      <c r="F88" s="36">
        <v>10.558736651575684</v>
      </c>
      <c r="G88" s="36">
        <v>229.12295960894946</v>
      </c>
      <c r="H88" s="36">
        <v>15118.76770057765</v>
      </c>
      <c r="I88" s="36">
        <v>1679.2871033118699</v>
      </c>
      <c r="J88" s="36">
        <v>1.2524810952245509</v>
      </c>
      <c r="K88" s="36">
        <v>1.0969845704612508E-2</v>
      </c>
      <c r="L88" s="36">
        <v>1.1245856713722614E-2</v>
      </c>
      <c r="M88" s="36">
        <v>1.0564317873028561E-2</v>
      </c>
      <c r="N88" s="36">
        <v>1.1919932606811685E-2</v>
      </c>
      <c r="O88" s="36">
        <v>1.2794339495746298E-2</v>
      </c>
      <c r="P88" s="36">
        <v>1.4476176092618524E-2</v>
      </c>
      <c r="Q88" s="36">
        <v>1.4166112799037421E-2</v>
      </c>
      <c r="R88" s="36">
        <v>1.4123506984453109E-2</v>
      </c>
      <c r="S88" s="36">
        <v>1.5943283548288677E-2</v>
      </c>
      <c r="T88" s="36">
        <v>1.9824093462611332E-2</v>
      </c>
      <c r="U88" s="36">
        <v>2.2619908321505594E-2</v>
      </c>
      <c r="V88" s="36">
        <v>3.1308982308777239E-2</v>
      </c>
      <c r="W88" s="36">
        <v>3.6419909990746901E-2</v>
      </c>
      <c r="X88" s="36">
        <v>3.7835982855296824E-2</v>
      </c>
      <c r="Y88" s="36">
        <v>9.3783402021795754E-4</v>
      </c>
      <c r="Z88" s="36">
        <v>1.3891671525345091E-3</v>
      </c>
      <c r="AA88" s="36">
        <v>1.2775050727562159E-3</v>
      </c>
      <c r="AB88" s="36">
        <v>1.9192645692871287E-3</v>
      </c>
      <c r="AC88" s="36">
        <v>2.5102449971297425E-3</v>
      </c>
      <c r="AD88" s="36">
        <v>3.3162492518182167E-3</v>
      </c>
      <c r="AE88" s="36">
        <v>4.3438642110214974E-3</v>
      </c>
      <c r="AF88" s="36">
        <v>5.2125999898919003E-3</v>
      </c>
      <c r="AG88" s="36">
        <v>5.8543034263482171E-3</v>
      </c>
      <c r="AH88" s="36">
        <v>7.1712356123890559E-3</v>
      </c>
      <c r="AI88" s="36">
        <v>1.1748950825569138E-2</v>
      </c>
      <c r="AJ88" s="36">
        <v>2.1014245274745949E-2</v>
      </c>
      <c r="AK88" s="36">
        <v>2.5599695263602579E-2</v>
      </c>
      <c r="AL88" s="36">
        <v>2.6790065810528861E-2</v>
      </c>
      <c r="AM88" s="36">
        <v>4.8701789431681956E-3</v>
      </c>
      <c r="AN88" s="36">
        <v>5.2809192701561347E-3</v>
      </c>
      <c r="AO88" s="36">
        <v>4.8578872077967832E-3</v>
      </c>
      <c r="AP88" s="36">
        <v>5.6345532818938594E-3</v>
      </c>
      <c r="AQ88" s="36">
        <v>5.9738931272773858E-3</v>
      </c>
      <c r="AR88" s="36">
        <v>5.8081337258054228E-3</v>
      </c>
      <c r="AS88" s="36">
        <v>7.1250802571038189E-3</v>
      </c>
      <c r="AT88" s="36">
        <v>8.5817419299560552E-3</v>
      </c>
      <c r="AU88" s="36">
        <v>9.210695906379341E-3</v>
      </c>
      <c r="AV88" s="36">
        <v>1.0972787873842281E-2</v>
      </c>
      <c r="AW88" s="36">
        <v>1.6765071934487247E-2</v>
      </c>
      <c r="AX88" s="36">
        <v>2.7470758880245149E-2</v>
      </c>
      <c r="AY88" s="36">
        <v>3.2538721809549045E-2</v>
      </c>
      <c r="AZ88" s="36">
        <v>3.446400043984587E-2</v>
      </c>
      <c r="BA88" s="36">
        <v>9.6940508815594902E-4</v>
      </c>
      <c r="BB88" s="36">
        <v>1.5965890123319402E-3</v>
      </c>
      <c r="BC88" s="36">
        <v>1.7890590042659079E-3</v>
      </c>
      <c r="BD88" s="36">
        <v>2.4962523695947207E-3</v>
      </c>
      <c r="BE88" s="36">
        <v>2.9947405491366646E-3</v>
      </c>
      <c r="BF88" s="36">
        <v>3.2887690753523793E-3</v>
      </c>
      <c r="BG88" s="36">
        <v>4.8667421366339267E-3</v>
      </c>
      <c r="BH88" s="36">
        <v>6.3222657881682551E-3</v>
      </c>
      <c r="BI88" s="36">
        <v>5.1621646672187511E-3</v>
      </c>
      <c r="BJ88" s="36">
        <v>6.5494988473006038E-3</v>
      </c>
      <c r="BK88" s="36">
        <v>1.2651954114595305E-2</v>
      </c>
      <c r="BL88" s="36">
        <v>2.8662595557159033E-2</v>
      </c>
      <c r="BM88" s="36">
        <v>3.4614433712914887E-2</v>
      </c>
      <c r="BN88" s="36">
        <v>3.7056068534085169E-2</v>
      </c>
    </row>
    <row r="89" spans="1:66">
      <c r="A89" s="36">
        <v>0.96601169443055368</v>
      </c>
      <c r="B89" s="36">
        <v>1.3465731542081816</v>
      </c>
      <c r="C89" s="36">
        <v>1.6096895155084006</v>
      </c>
      <c r="D89" s="36">
        <v>0.31820157208421246</v>
      </c>
      <c r="E89" s="36">
        <v>2.7405731000863391</v>
      </c>
      <c r="F89" s="36">
        <v>10.772562152071652</v>
      </c>
      <c r="G89" s="36">
        <v>220.19546982608213</v>
      </c>
      <c r="H89" s="36">
        <v>15118.763727795875</v>
      </c>
      <c r="I89" s="36">
        <v>1679.2832236888485</v>
      </c>
      <c r="J89" s="36">
        <v>1.2393425853913309</v>
      </c>
      <c r="K89" s="36">
        <v>1.1307524755788001E-2</v>
      </c>
      <c r="L89" s="36">
        <v>1.0882489449761647E-2</v>
      </c>
      <c r="M89" s="36">
        <v>1.0566341002288974E-2</v>
      </c>
      <c r="N89" s="36">
        <v>1.1953433796653994E-2</v>
      </c>
      <c r="O89" s="36">
        <v>1.2754187314303233E-2</v>
      </c>
      <c r="P89" s="36">
        <v>1.4426510074056801E-2</v>
      </c>
      <c r="Q89" s="36">
        <v>1.4127558570115831E-2</v>
      </c>
      <c r="R89" s="36">
        <v>1.5326423970263875E-2</v>
      </c>
      <c r="S89" s="36">
        <v>1.5837802330743275E-2</v>
      </c>
      <c r="T89" s="36">
        <v>1.9727969452778306E-2</v>
      </c>
      <c r="U89" s="36">
        <v>2.271255238559208E-2</v>
      </c>
      <c r="V89" s="36">
        <v>3.1472713624955261E-2</v>
      </c>
      <c r="W89" s="36">
        <v>3.6687511325981699E-2</v>
      </c>
      <c r="X89" s="36">
        <v>3.8190981980207074E-2</v>
      </c>
      <c r="Y89" s="36">
        <v>2.1430775524269286E-3</v>
      </c>
      <c r="Z89" s="36">
        <v>1.2507911751462302E-3</v>
      </c>
      <c r="AA89" s="36">
        <v>1.2529997061617062E-3</v>
      </c>
      <c r="AB89" s="36">
        <v>1.8572735926423026E-3</v>
      </c>
      <c r="AC89" s="36">
        <v>2.4734189638695001E-3</v>
      </c>
      <c r="AD89" s="36">
        <v>3.2720329165243475E-3</v>
      </c>
      <c r="AE89" s="36">
        <v>4.3139043936503774E-3</v>
      </c>
      <c r="AF89" s="36">
        <v>5.1749455030495441E-3</v>
      </c>
      <c r="AG89" s="36">
        <v>6.0003485702308235E-3</v>
      </c>
      <c r="AH89" s="36">
        <v>7.4377225655995081E-3</v>
      </c>
      <c r="AI89" s="36">
        <v>1.2145575951611054E-2</v>
      </c>
      <c r="AJ89" s="36">
        <v>2.1433245311340773E-2</v>
      </c>
      <c r="AK89" s="36">
        <v>2.5981433548150551E-2</v>
      </c>
      <c r="AL89" s="36">
        <v>2.735455031683753E-2</v>
      </c>
      <c r="AM89" s="36">
        <v>4.72410133321788E-3</v>
      </c>
      <c r="AN89" s="36">
        <v>5.3449446470331665E-3</v>
      </c>
      <c r="AO89" s="36">
        <v>4.8704116951648908E-3</v>
      </c>
      <c r="AP89" s="36">
        <v>5.6294413171620291E-3</v>
      </c>
      <c r="AQ89" s="36">
        <v>5.974294558924312E-3</v>
      </c>
      <c r="AR89" s="36">
        <v>5.7822488795336519E-3</v>
      </c>
      <c r="AS89" s="36">
        <v>7.0740812075449468E-3</v>
      </c>
      <c r="AT89" s="36">
        <v>8.5195250282811552E-3</v>
      </c>
      <c r="AU89" s="36">
        <v>9.3005996608719523E-3</v>
      </c>
      <c r="AV89" s="36">
        <v>1.1140793900611385E-2</v>
      </c>
      <c r="AW89" s="36">
        <v>1.700856303072882E-2</v>
      </c>
      <c r="AX89" s="36">
        <v>2.7774031854520903E-2</v>
      </c>
      <c r="AY89" s="36">
        <v>3.2920985533151502E-2</v>
      </c>
      <c r="AZ89" s="36">
        <v>3.4808196897554163E-2</v>
      </c>
      <c r="BA89" s="36">
        <v>1.1195323839462081E-3</v>
      </c>
      <c r="BB89" s="36">
        <v>1.915095357897776E-3</v>
      </c>
      <c r="BC89" s="36">
        <v>1.8562503839147939E-3</v>
      </c>
      <c r="BD89" s="36">
        <v>2.4698835350328661E-3</v>
      </c>
      <c r="BE89" s="36">
        <v>2.9820799867230317E-3</v>
      </c>
      <c r="BF89" s="36">
        <v>3.2809748774983486E-3</v>
      </c>
      <c r="BG89" s="36">
        <v>4.8606845771196894E-3</v>
      </c>
      <c r="BH89" s="36">
        <v>6.3224749443265898E-3</v>
      </c>
      <c r="BI89" s="36">
        <v>5.2880229825278723E-3</v>
      </c>
      <c r="BJ89" s="36">
        <v>6.6970112893015594E-3</v>
      </c>
      <c r="BK89" s="36">
        <v>1.2847990631418792E-2</v>
      </c>
      <c r="BL89" s="36">
        <v>2.8793029000631677E-2</v>
      </c>
      <c r="BM89" s="36">
        <v>3.4735657467262517E-2</v>
      </c>
      <c r="BN89" s="36">
        <v>3.7152828610023753E-2</v>
      </c>
    </row>
    <row r="90" spans="1:66">
      <c r="A90" s="36">
        <v>0.96750915237867563</v>
      </c>
      <c r="B90" s="36">
        <v>1.3499964470082195</v>
      </c>
      <c r="C90" s="36">
        <v>1.6163794263931797</v>
      </c>
      <c r="D90" s="36">
        <v>0.31925169235080236</v>
      </c>
      <c r="E90" s="36">
        <v>2.7551160751924471</v>
      </c>
      <c r="F90" s="36">
        <v>10.804739150365323</v>
      </c>
      <c r="G90" s="36">
        <v>220.19044534295026</v>
      </c>
      <c r="H90" s="36">
        <v>15118.764959386031</v>
      </c>
      <c r="I90" s="36">
        <v>1679.2833847238639</v>
      </c>
      <c r="J90" s="36">
        <v>1.268716871383861</v>
      </c>
      <c r="K90" s="36">
        <v>1.1412070197316326E-2</v>
      </c>
      <c r="L90" s="36">
        <v>1.1070099113719636E-2</v>
      </c>
      <c r="M90" s="36">
        <v>1.0720365631130848E-2</v>
      </c>
      <c r="N90" s="36">
        <v>1.2039921913488056E-2</v>
      </c>
      <c r="O90" s="36">
        <v>1.2896352006949486E-2</v>
      </c>
      <c r="P90" s="36">
        <v>1.4570848785167519E-2</v>
      </c>
      <c r="Q90" s="36">
        <v>1.4177025708075327E-2</v>
      </c>
      <c r="R90" s="36">
        <v>1.4800833613516255E-2</v>
      </c>
      <c r="S90" s="36">
        <v>1.5927344374029744E-2</v>
      </c>
      <c r="T90" s="36">
        <v>1.9830155152081499E-2</v>
      </c>
      <c r="U90" s="36">
        <v>2.2857622569946265E-2</v>
      </c>
      <c r="V90" s="36">
        <v>3.1648127629518151E-2</v>
      </c>
      <c r="W90" s="36">
        <v>3.6813120635140535E-2</v>
      </c>
      <c r="X90" s="36">
        <v>3.8287290226453982E-2</v>
      </c>
      <c r="Y90" s="36">
        <v>2.3900289537303527E-3</v>
      </c>
      <c r="Z90" s="36">
        <v>1.3607704472212924E-3</v>
      </c>
      <c r="AA90" s="36">
        <v>1.2856367619377362E-3</v>
      </c>
      <c r="AB90" s="36">
        <v>1.9000393219755646E-3</v>
      </c>
      <c r="AC90" s="36">
        <v>2.4865288438486121E-3</v>
      </c>
      <c r="AD90" s="36">
        <v>3.2951244386912378E-3</v>
      </c>
      <c r="AE90" s="36">
        <v>4.3486706121664796E-3</v>
      </c>
      <c r="AF90" s="36">
        <v>5.2273468551220286E-3</v>
      </c>
      <c r="AG90" s="36">
        <v>6.0861796814676633E-3</v>
      </c>
      <c r="AH90" s="36">
        <v>7.5361192217844233E-3</v>
      </c>
      <c r="AI90" s="36">
        <v>1.2217251010397029E-2</v>
      </c>
      <c r="AJ90" s="36">
        <v>2.1532133219770634E-2</v>
      </c>
      <c r="AK90" s="36">
        <v>2.6030531744368143E-2</v>
      </c>
      <c r="AL90" s="36">
        <v>2.7309912905463217E-2</v>
      </c>
      <c r="AM90" s="36">
        <v>4.6831176327561744E-3</v>
      </c>
      <c r="AN90" s="36">
        <v>5.4529753591522692E-3</v>
      </c>
      <c r="AO90" s="36">
        <v>4.9015346952959778E-3</v>
      </c>
      <c r="AP90" s="36">
        <v>5.6491875906322852E-3</v>
      </c>
      <c r="AQ90" s="36">
        <v>5.9820606685401208E-3</v>
      </c>
      <c r="AR90" s="36">
        <v>5.8039259185760205E-3</v>
      </c>
      <c r="AS90" s="36">
        <v>7.1142538379525399E-3</v>
      </c>
      <c r="AT90" s="36">
        <v>8.577960476230927E-3</v>
      </c>
      <c r="AU90" s="36">
        <v>9.5156810747893655E-3</v>
      </c>
      <c r="AV90" s="36">
        <v>1.1485602569339587E-2</v>
      </c>
      <c r="AW90" s="36">
        <v>1.7464188069368333E-2</v>
      </c>
      <c r="AX90" s="36">
        <v>2.8128597300318501E-2</v>
      </c>
      <c r="AY90" s="36">
        <v>3.3195300826469085E-2</v>
      </c>
      <c r="AZ90" s="36">
        <v>3.4971218460912952E-2</v>
      </c>
      <c r="BA90" s="36">
        <v>1.0713670940634321E-3</v>
      </c>
      <c r="BB90" s="36">
        <v>2.1068867331003101E-3</v>
      </c>
      <c r="BC90" s="36">
        <v>1.9306613786068366E-3</v>
      </c>
      <c r="BD90" s="36">
        <v>2.5311693617249688E-3</v>
      </c>
      <c r="BE90" s="36">
        <v>3.0113595305540121E-3</v>
      </c>
      <c r="BF90" s="36">
        <v>3.3034426789795095E-3</v>
      </c>
      <c r="BG90" s="36">
        <v>4.9021081170032418E-3</v>
      </c>
      <c r="BH90" s="36">
        <v>6.3810958081934946E-3</v>
      </c>
      <c r="BI90" s="36">
        <v>5.2240386470619226E-3</v>
      </c>
      <c r="BJ90" s="36">
        <v>6.6767757384899318E-3</v>
      </c>
      <c r="BK90" s="36">
        <v>1.2747042433620069E-2</v>
      </c>
      <c r="BL90" s="36">
        <v>2.8850804560373151E-2</v>
      </c>
      <c r="BM90" s="36">
        <v>3.4891831415570319E-2</v>
      </c>
      <c r="BN90" s="36">
        <v>3.7361775587939634E-2</v>
      </c>
    </row>
    <row r="91" spans="1:66">
      <c r="A91" s="36">
        <v>0.97045898947183962</v>
      </c>
      <c r="B91" s="36">
        <v>1.350498440328858</v>
      </c>
      <c r="C91" s="36">
        <v>1.6131195830110268</v>
      </c>
      <c r="D91" s="36">
        <v>0.31946693351967453</v>
      </c>
      <c r="E91" s="36">
        <v>2.8450671465099417</v>
      </c>
      <c r="F91" s="36">
        <v>10.869169204965857</v>
      </c>
      <c r="G91" s="36">
        <v>224.60466460042369</v>
      </c>
      <c r="H91" s="36">
        <v>15118.760699097427</v>
      </c>
      <c r="I91" s="36">
        <v>1679.2789642526418</v>
      </c>
      <c r="J91" s="36">
        <v>1.237475384314856</v>
      </c>
      <c r="K91" s="36">
        <v>1.0918037819161817E-2</v>
      </c>
      <c r="L91" s="36">
        <v>1.0730641676672802E-2</v>
      </c>
      <c r="M91" s="36">
        <v>1.0675119591769831E-2</v>
      </c>
      <c r="N91" s="36">
        <v>1.1999866099897618E-2</v>
      </c>
      <c r="O91" s="36">
        <v>1.2941396754268144E-2</v>
      </c>
      <c r="P91" s="36">
        <v>1.4566721306896341E-2</v>
      </c>
      <c r="Q91" s="36">
        <v>1.4250160113807314E-2</v>
      </c>
      <c r="R91" s="36">
        <v>1.4298549091859965E-2</v>
      </c>
      <c r="S91" s="36">
        <v>1.5831311092641815E-2</v>
      </c>
      <c r="T91" s="36">
        <v>1.9583600977488815E-2</v>
      </c>
      <c r="U91" s="36">
        <v>2.2330239254007324E-2</v>
      </c>
      <c r="V91" s="36">
        <v>3.1082571254416578E-2</v>
      </c>
      <c r="W91" s="36">
        <v>3.6215310055971166E-2</v>
      </c>
      <c r="X91" s="36">
        <v>3.7726188749616224E-2</v>
      </c>
      <c r="Y91" s="36">
        <v>1.7459932967875333E-3</v>
      </c>
      <c r="Z91" s="36">
        <v>1.2783386849729403E-3</v>
      </c>
      <c r="AA91" s="36">
        <v>1.2527141653925521E-3</v>
      </c>
      <c r="AB91" s="36">
        <v>1.8631718069881589E-3</v>
      </c>
      <c r="AC91" s="36">
        <v>2.4621350955277952E-3</v>
      </c>
      <c r="AD91" s="36">
        <v>3.2505834538893168E-3</v>
      </c>
      <c r="AE91" s="36">
        <v>4.2964599398903902E-3</v>
      </c>
      <c r="AF91" s="36">
        <v>5.1858724557668498E-3</v>
      </c>
      <c r="AG91" s="36">
        <v>5.9401443685565668E-3</v>
      </c>
      <c r="AH91" s="36">
        <v>7.2708212017220178E-3</v>
      </c>
      <c r="AI91" s="36">
        <v>1.1815168546518675E-2</v>
      </c>
      <c r="AJ91" s="36">
        <v>2.1100930871630341E-2</v>
      </c>
      <c r="AK91" s="36">
        <v>2.5710406659438627E-2</v>
      </c>
      <c r="AL91" s="36">
        <v>2.6925727755140724E-2</v>
      </c>
      <c r="AM91" s="36">
        <v>4.8438227456078405E-3</v>
      </c>
      <c r="AN91" s="36">
        <v>5.3585509887480731E-3</v>
      </c>
      <c r="AO91" s="36">
        <v>4.8727124639979464E-3</v>
      </c>
      <c r="AP91" s="36">
        <v>5.6333226247958232E-3</v>
      </c>
      <c r="AQ91" s="36">
        <v>5.9730373580096328E-3</v>
      </c>
      <c r="AR91" s="36">
        <v>5.7766306252583187E-3</v>
      </c>
      <c r="AS91" s="36">
        <v>7.0655891331743098E-3</v>
      </c>
      <c r="AT91" s="36">
        <v>8.5132668365501801E-3</v>
      </c>
      <c r="AU91" s="36">
        <v>9.1815864134260558E-3</v>
      </c>
      <c r="AV91" s="36">
        <v>1.0948794327141359E-2</v>
      </c>
      <c r="AW91" s="36">
        <v>1.6618137864941422E-2</v>
      </c>
      <c r="AX91" s="36">
        <v>2.7207412226245474E-2</v>
      </c>
      <c r="AY91" s="36">
        <v>3.2340066221449616E-2</v>
      </c>
      <c r="AZ91" s="36">
        <v>3.4354636032482302E-2</v>
      </c>
      <c r="BA91" s="36">
        <v>6.0244505465263903E-4</v>
      </c>
      <c r="BB91" s="36">
        <v>1.6248927856617507E-3</v>
      </c>
      <c r="BC91" s="36">
        <v>1.7932957936405696E-3</v>
      </c>
      <c r="BD91" s="36">
        <v>2.4518335279221475E-3</v>
      </c>
      <c r="BE91" s="36">
        <v>2.9471266674321417E-3</v>
      </c>
      <c r="BF91" s="36">
        <v>3.2397830254383528E-3</v>
      </c>
      <c r="BG91" s="36">
        <v>4.8457261907688433E-3</v>
      </c>
      <c r="BH91" s="36">
        <v>6.341786245353918E-3</v>
      </c>
      <c r="BI91" s="36">
        <v>5.1130935208478162E-3</v>
      </c>
      <c r="BJ91" s="36">
        <v>6.5198240372448509E-3</v>
      </c>
      <c r="BK91" s="36">
        <v>1.234081783067373E-2</v>
      </c>
      <c r="BL91" s="36">
        <v>2.8411958230493108E-2</v>
      </c>
      <c r="BM91" s="36">
        <v>3.4505289355012472E-2</v>
      </c>
      <c r="BN91" s="36">
        <v>3.7068580889276143E-2</v>
      </c>
    </row>
    <row r="92" spans="1:66">
      <c r="A92" s="36">
        <v>0.97486235841429847</v>
      </c>
      <c r="B92" s="36">
        <v>1.3548754276506831</v>
      </c>
      <c r="C92" s="36">
        <v>1.6216708233044166</v>
      </c>
      <c r="D92" s="36">
        <v>0.32199791287784296</v>
      </c>
      <c r="E92" s="36">
        <v>2.8032626592230709</v>
      </c>
      <c r="F92" s="36">
        <v>10.577173586791828</v>
      </c>
      <c r="G92" s="36">
        <v>219.72648544028888</v>
      </c>
      <c r="H92" s="36">
        <v>15118.766059568818</v>
      </c>
      <c r="I92" s="36">
        <v>1679.2865194078909</v>
      </c>
      <c r="J92" s="36">
        <v>1.2497822068684985</v>
      </c>
      <c r="K92" s="36">
        <v>1.0713636030381828E-2</v>
      </c>
      <c r="L92" s="36">
        <v>1.0681837245975099E-2</v>
      </c>
      <c r="M92" s="36">
        <v>1.0555419662131691E-2</v>
      </c>
      <c r="N92" s="36">
        <v>1.2009519630701454E-2</v>
      </c>
      <c r="O92" s="36">
        <v>1.2791400688008952E-2</v>
      </c>
      <c r="P92" s="36">
        <v>1.4504078998427395E-2</v>
      </c>
      <c r="Q92" s="36">
        <v>1.4204124484187229E-2</v>
      </c>
      <c r="R92" s="36">
        <v>1.4987364688953763E-2</v>
      </c>
      <c r="S92" s="36">
        <v>1.633002969729714E-2</v>
      </c>
      <c r="T92" s="36">
        <v>2.04879065959684E-2</v>
      </c>
      <c r="U92" s="36">
        <v>2.371158605311624E-2</v>
      </c>
      <c r="V92" s="36">
        <v>3.2623601915306763E-2</v>
      </c>
      <c r="W92" s="36">
        <v>3.7805475246628167E-2</v>
      </c>
      <c r="X92" s="36">
        <v>3.9218538171936199E-2</v>
      </c>
      <c r="Y92" s="36">
        <v>2.3569389894568041E-3</v>
      </c>
      <c r="Z92" s="36">
        <v>1.4900144097330411E-3</v>
      </c>
      <c r="AA92" s="36">
        <v>1.3123124555204765E-3</v>
      </c>
      <c r="AB92" s="36">
        <v>1.9756408829220075E-3</v>
      </c>
      <c r="AC92" s="36">
        <v>2.583795101868062E-3</v>
      </c>
      <c r="AD92" s="36">
        <v>3.3669070385590563E-3</v>
      </c>
      <c r="AE92" s="36">
        <v>4.4106015729004381E-3</v>
      </c>
      <c r="AF92" s="36">
        <v>5.2693499603425143E-3</v>
      </c>
      <c r="AG92" s="36">
        <v>6.3511356068538813E-3</v>
      </c>
      <c r="AH92" s="36">
        <v>7.8979616507677559E-3</v>
      </c>
      <c r="AI92" s="36">
        <v>1.2779770621035424E-2</v>
      </c>
      <c r="AJ92" s="36">
        <v>2.2201013147192427E-2</v>
      </c>
      <c r="AK92" s="36">
        <v>2.67113646425301E-2</v>
      </c>
      <c r="AL92" s="36">
        <v>2.7920806372118679E-2</v>
      </c>
      <c r="AM92" s="36">
        <v>4.6634470615706551E-3</v>
      </c>
      <c r="AN92" s="36">
        <v>5.3945718006525754E-3</v>
      </c>
      <c r="AO92" s="36">
        <v>4.8866711894582655E-3</v>
      </c>
      <c r="AP92" s="36">
        <v>5.6571239884105036E-3</v>
      </c>
      <c r="AQ92" s="36">
        <v>6.0073527231202482E-3</v>
      </c>
      <c r="AR92" s="36">
        <v>5.8340850086865091E-3</v>
      </c>
      <c r="AS92" s="36">
        <v>7.1795302616349836E-3</v>
      </c>
      <c r="AT92" s="36">
        <v>8.6577653533269766E-3</v>
      </c>
      <c r="AU92" s="36">
        <v>9.7154938438567227E-3</v>
      </c>
      <c r="AV92" s="36">
        <v>1.1967616339584045E-2</v>
      </c>
      <c r="AW92" s="36">
        <v>1.8270949172819333E-2</v>
      </c>
      <c r="AX92" s="36">
        <v>2.9127217823079626E-2</v>
      </c>
      <c r="AY92" s="36">
        <v>3.3992695269280608E-2</v>
      </c>
      <c r="AZ92" s="36">
        <v>3.5690326713820504E-2</v>
      </c>
      <c r="BA92" s="36">
        <v>1.1548052247865393E-3</v>
      </c>
      <c r="BB92" s="36">
        <v>1.9057141077497293E-3</v>
      </c>
      <c r="BC92" s="36">
        <v>1.8786162860490961E-3</v>
      </c>
      <c r="BD92" s="36">
        <v>2.5836461510873165E-3</v>
      </c>
      <c r="BE92" s="36">
        <v>3.081792961736145E-3</v>
      </c>
      <c r="BF92" s="36">
        <v>3.365284434077079E-3</v>
      </c>
      <c r="BG92" s="36">
        <v>4.9886337988606956E-3</v>
      </c>
      <c r="BH92" s="36">
        <v>6.4821629081044775E-3</v>
      </c>
      <c r="BI92" s="36">
        <v>5.6640652619939467E-3</v>
      </c>
      <c r="BJ92" s="36">
        <v>7.296989041677221E-3</v>
      </c>
      <c r="BK92" s="36">
        <v>1.3797885044329777E-2</v>
      </c>
      <c r="BL92" s="36">
        <v>3.019022596928618E-2</v>
      </c>
      <c r="BM92" s="36">
        <v>3.5894516414551145E-2</v>
      </c>
      <c r="BN92" s="36">
        <v>3.8249509860364898E-2</v>
      </c>
    </row>
    <row r="93" spans="1:66">
      <c r="A93" s="36">
        <v>0.97112267443223654</v>
      </c>
      <c r="B93" s="36">
        <v>1.351351213084252</v>
      </c>
      <c r="C93" s="36">
        <v>1.6229851709067322</v>
      </c>
      <c r="D93" s="36">
        <v>0.32101720994267452</v>
      </c>
      <c r="E93" s="36">
        <v>2.8295086717935845</v>
      </c>
      <c r="F93" s="36">
        <v>10.764549087464621</v>
      </c>
      <c r="G93" s="36">
        <v>221.47271018679032</v>
      </c>
      <c r="H93" s="36">
        <v>15118.760003394204</v>
      </c>
      <c r="I93" s="36">
        <v>1679.2799862633035</v>
      </c>
      <c r="J93" s="36">
        <v>1.2271590706218283</v>
      </c>
      <c r="K93" s="36">
        <v>1.1014631369586084E-2</v>
      </c>
      <c r="L93" s="36">
        <v>1.0952252785828788E-2</v>
      </c>
      <c r="M93" s="36">
        <v>1.0594225552464509E-2</v>
      </c>
      <c r="N93" s="36">
        <v>1.1989675285113324E-2</v>
      </c>
      <c r="O93" s="36">
        <v>1.2907189497289105E-2</v>
      </c>
      <c r="P93" s="36">
        <v>1.4618583668909836E-2</v>
      </c>
      <c r="Q93" s="36">
        <v>1.4252280849631496E-2</v>
      </c>
      <c r="R93" s="36">
        <v>1.5201978433471635E-2</v>
      </c>
      <c r="S93" s="36">
        <v>1.5991118436849465E-2</v>
      </c>
      <c r="T93" s="36">
        <v>1.9841870709490214E-2</v>
      </c>
      <c r="U93" s="36">
        <v>2.2777625858675096E-2</v>
      </c>
      <c r="V93" s="36">
        <v>3.1726273548040258E-2</v>
      </c>
      <c r="W93" s="36">
        <v>3.6996998883975146E-2</v>
      </c>
      <c r="X93" s="36">
        <v>3.8442499489435157E-2</v>
      </c>
      <c r="Y93" s="36">
        <v>1.2658363930238533E-3</v>
      </c>
      <c r="Z93" s="36">
        <v>1.5339448872588432E-3</v>
      </c>
      <c r="AA93" s="36">
        <v>1.2954796775232033E-3</v>
      </c>
      <c r="AB93" s="36">
        <v>1.904965160315556E-3</v>
      </c>
      <c r="AC93" s="36">
        <v>2.5312761560752025E-3</v>
      </c>
      <c r="AD93" s="36">
        <v>3.3287316294264334E-3</v>
      </c>
      <c r="AE93" s="36">
        <v>4.3611968077287367E-3</v>
      </c>
      <c r="AF93" s="36">
        <v>5.2289900625872672E-3</v>
      </c>
      <c r="AG93" s="36">
        <v>5.9472134750452894E-3</v>
      </c>
      <c r="AH93" s="36">
        <v>7.36939502469922E-3</v>
      </c>
      <c r="AI93" s="36">
        <v>1.1950172123746602E-2</v>
      </c>
      <c r="AJ93" s="36">
        <v>2.1114227808873003E-2</v>
      </c>
      <c r="AK93" s="36">
        <v>2.5603928616216024E-2</v>
      </c>
      <c r="AL93" s="36">
        <v>2.6975328768236641E-2</v>
      </c>
      <c r="AM93" s="36">
        <v>4.8477433658744608E-3</v>
      </c>
      <c r="AN93" s="36">
        <v>5.3632492455632274E-3</v>
      </c>
      <c r="AO93" s="36">
        <v>4.8785167412156048E-3</v>
      </c>
      <c r="AP93" s="36">
        <v>5.64366066408146E-3</v>
      </c>
      <c r="AQ93" s="36">
        <v>5.9801850459912298E-3</v>
      </c>
      <c r="AR93" s="36">
        <v>5.8045144426440605E-3</v>
      </c>
      <c r="AS93" s="36">
        <v>7.1111503440938551E-3</v>
      </c>
      <c r="AT93" s="36">
        <v>8.5588552425883476E-3</v>
      </c>
      <c r="AU93" s="36">
        <v>9.2327229346969245E-3</v>
      </c>
      <c r="AV93" s="36">
        <v>1.1072865237738705E-2</v>
      </c>
      <c r="AW93" s="36">
        <v>1.6899957517714236E-2</v>
      </c>
      <c r="AX93" s="36">
        <v>2.7659740820104008E-2</v>
      </c>
      <c r="AY93" s="36">
        <v>3.2720636825364385E-2</v>
      </c>
      <c r="AZ93" s="36">
        <v>3.4568027076182478E-2</v>
      </c>
      <c r="BA93" s="36">
        <v>9.2916632765755955E-4</v>
      </c>
      <c r="BB93" s="36">
        <v>1.6477424591430157E-3</v>
      </c>
      <c r="BC93" s="36">
        <v>1.7951024861793644E-3</v>
      </c>
      <c r="BD93" s="36">
        <v>2.473486400968406E-3</v>
      </c>
      <c r="BE93" s="36">
        <v>2.9803621588849051E-3</v>
      </c>
      <c r="BF93" s="36">
        <v>3.2977975979874459E-3</v>
      </c>
      <c r="BG93" s="36">
        <v>4.8811155920377835E-3</v>
      </c>
      <c r="BH93" s="36">
        <v>6.34032906051643E-3</v>
      </c>
      <c r="BI93" s="36">
        <v>5.3091186810130522E-3</v>
      </c>
      <c r="BJ93" s="36">
        <v>6.7275742381992252E-3</v>
      </c>
      <c r="BK93" s="36">
        <v>1.2927786218318417E-2</v>
      </c>
      <c r="BL93" s="36">
        <v>2.9082286118509656E-2</v>
      </c>
      <c r="BM93" s="36">
        <v>3.5103432292770666E-2</v>
      </c>
      <c r="BN93" s="36">
        <v>3.7610049572829096E-2</v>
      </c>
    </row>
    <row r="94" spans="1:66">
      <c r="A94" s="36">
        <v>0.96545356584998132</v>
      </c>
      <c r="B94" s="36">
        <v>1.3455907668431704</v>
      </c>
      <c r="C94" s="36">
        <v>1.6078897908852601</v>
      </c>
      <c r="D94" s="36">
        <v>0.31857647022152213</v>
      </c>
      <c r="E94" s="36">
        <v>2.8046112272368231</v>
      </c>
      <c r="F94" s="36">
        <v>10.87463428322679</v>
      </c>
      <c r="G94" s="36">
        <v>223.38025237217897</v>
      </c>
      <c r="H94" s="36">
        <v>15118.754544336687</v>
      </c>
      <c r="I94" s="36">
        <v>1679.2761443580364</v>
      </c>
      <c r="J94" s="36">
        <v>1.2345870377578581</v>
      </c>
      <c r="K94" s="36">
        <v>1.0994813847168633E-2</v>
      </c>
      <c r="L94" s="36">
        <v>1.063817131753955E-2</v>
      </c>
      <c r="M94" s="36">
        <v>1.038922365949029E-2</v>
      </c>
      <c r="N94" s="36">
        <v>1.1751589418156759E-2</v>
      </c>
      <c r="O94" s="36">
        <v>1.2737044341809001E-2</v>
      </c>
      <c r="P94" s="36">
        <v>1.4377167120412059E-2</v>
      </c>
      <c r="Q94" s="36">
        <v>1.4094135324469003E-2</v>
      </c>
      <c r="R94" s="36">
        <v>1.5753651550853225E-2</v>
      </c>
      <c r="S94" s="36">
        <v>1.5669204893512173E-2</v>
      </c>
      <c r="T94" s="36">
        <v>1.9360848222285353E-2</v>
      </c>
      <c r="U94" s="36">
        <v>2.2218577509988499E-2</v>
      </c>
      <c r="V94" s="36">
        <v>3.0976833076890708E-2</v>
      </c>
      <c r="W94" s="36">
        <v>3.6258197806604428E-2</v>
      </c>
      <c r="X94" s="36">
        <v>3.7857479787410858E-2</v>
      </c>
      <c r="Y94" s="36">
        <v>1.2859615529511566E-3</v>
      </c>
      <c r="Z94" s="36">
        <v>1.393875763361057E-3</v>
      </c>
      <c r="AA94" s="36">
        <v>1.2777326065682984E-3</v>
      </c>
      <c r="AB94" s="36">
        <v>1.8557651395584235E-3</v>
      </c>
      <c r="AC94" s="36">
        <v>2.4900620906573661E-3</v>
      </c>
      <c r="AD94" s="36">
        <v>3.2825540224189968E-3</v>
      </c>
      <c r="AE94" s="36">
        <v>4.3247867993817853E-3</v>
      </c>
      <c r="AF94" s="36">
        <v>5.1945641613204254E-3</v>
      </c>
      <c r="AG94" s="36">
        <v>5.8412983093732483E-3</v>
      </c>
      <c r="AH94" s="36">
        <v>7.132559813750469E-3</v>
      </c>
      <c r="AI94" s="36">
        <v>1.1676801646115656E-2</v>
      </c>
      <c r="AJ94" s="36">
        <v>2.0906475252337416E-2</v>
      </c>
      <c r="AK94" s="36">
        <v>2.5547120710620777E-2</v>
      </c>
      <c r="AL94" s="36">
        <v>2.6943919273754266E-2</v>
      </c>
      <c r="AM94" s="36">
        <v>4.7815268874837561E-3</v>
      </c>
      <c r="AN94" s="36">
        <v>5.4502129002935292E-3</v>
      </c>
      <c r="AO94" s="36">
        <v>4.8930564514766076E-3</v>
      </c>
      <c r="AP94" s="36">
        <v>5.6384180443646483E-3</v>
      </c>
      <c r="AQ94" s="36">
        <v>5.9756481373212959E-3</v>
      </c>
      <c r="AR94" s="36">
        <v>5.7807056276787021E-3</v>
      </c>
      <c r="AS94" s="36">
        <v>7.0630370364591051E-3</v>
      </c>
      <c r="AT94" s="36">
        <v>8.4967526310687318E-3</v>
      </c>
      <c r="AU94" s="36">
        <v>8.8553687335062355E-3</v>
      </c>
      <c r="AV94" s="36">
        <v>1.0538741841592163E-2</v>
      </c>
      <c r="AW94" s="36">
        <v>1.6251622204883208E-2</v>
      </c>
      <c r="AX94" s="36">
        <v>2.6945483107413602E-2</v>
      </c>
      <c r="AY94" s="36">
        <v>3.2139994085407457E-2</v>
      </c>
      <c r="AZ94" s="36">
        <v>3.4150228234397825E-2</v>
      </c>
      <c r="BA94" s="36">
        <v>8.1430505538474516E-4</v>
      </c>
      <c r="BB94" s="36">
        <v>1.9555806835586508E-3</v>
      </c>
      <c r="BC94" s="36">
        <v>1.8726057508007515E-3</v>
      </c>
      <c r="BD94" s="36">
        <v>2.4742990531884477E-3</v>
      </c>
      <c r="BE94" s="36">
        <v>2.9751714257036017E-3</v>
      </c>
      <c r="BF94" s="36">
        <v>3.2818358571076456E-3</v>
      </c>
      <c r="BG94" s="36">
        <v>4.8550456890845218E-3</v>
      </c>
      <c r="BH94" s="36">
        <v>6.3090713796496523E-3</v>
      </c>
      <c r="BI94" s="36">
        <v>5.1164592711750749E-3</v>
      </c>
      <c r="BJ94" s="36">
        <v>6.4190617172939727E-3</v>
      </c>
      <c r="BK94" s="36">
        <v>1.2259612828583741E-2</v>
      </c>
      <c r="BL94" s="36">
        <v>2.8246048403442057E-2</v>
      </c>
      <c r="BM94" s="36">
        <v>3.4294219729019686E-2</v>
      </c>
      <c r="BN94" s="36">
        <v>3.6863175492586567E-2</v>
      </c>
    </row>
    <row r="95" spans="1:66">
      <c r="A95" s="36">
        <v>0.9692468739661606</v>
      </c>
      <c r="B95" s="36">
        <v>1.3475686884860787</v>
      </c>
      <c r="C95" s="36">
        <v>1.6114173252856894</v>
      </c>
      <c r="D95" s="36">
        <v>0.3202281405455864</v>
      </c>
      <c r="E95" s="36">
        <v>2.7590920490477604</v>
      </c>
      <c r="F95" s="36">
        <v>10.590831491263973</v>
      </c>
      <c r="G95" s="36">
        <v>226.41709478968835</v>
      </c>
      <c r="H95" s="36">
        <v>15118.766877016766</v>
      </c>
      <c r="I95" s="36">
        <v>1679.2815440806555</v>
      </c>
      <c r="J95" s="36">
        <v>1.2560154013737914</v>
      </c>
      <c r="K95" s="36">
        <v>1.1283645343527665E-2</v>
      </c>
      <c r="L95" s="36">
        <v>1.1037483966048442E-2</v>
      </c>
      <c r="M95" s="36">
        <v>1.0676714183186388E-2</v>
      </c>
      <c r="N95" s="36">
        <v>1.2000717344853799E-2</v>
      </c>
      <c r="O95" s="36">
        <v>1.2835581632382423E-2</v>
      </c>
      <c r="P95" s="36">
        <v>1.4573835825641266E-2</v>
      </c>
      <c r="Q95" s="36">
        <v>1.4169910199058465E-2</v>
      </c>
      <c r="R95" s="36">
        <v>1.5381557950570354E-2</v>
      </c>
      <c r="S95" s="36">
        <v>1.594399704542104E-2</v>
      </c>
      <c r="T95" s="36">
        <v>1.9781855456726997E-2</v>
      </c>
      <c r="U95" s="36">
        <v>2.2662522134404391E-2</v>
      </c>
      <c r="V95" s="36">
        <v>3.1448768478158445E-2</v>
      </c>
      <c r="W95" s="36">
        <v>3.6772865129198036E-2</v>
      </c>
      <c r="X95" s="36">
        <v>3.8295901609620445E-2</v>
      </c>
      <c r="Y95" s="36">
        <v>1.5151514142564568E-3</v>
      </c>
      <c r="Z95" s="36">
        <v>1.4374528922310545E-3</v>
      </c>
      <c r="AA95" s="36">
        <v>1.3074568797704737E-3</v>
      </c>
      <c r="AB95" s="36">
        <v>1.9430795907091466E-3</v>
      </c>
      <c r="AC95" s="36">
        <v>2.5532287369937337E-3</v>
      </c>
      <c r="AD95" s="36">
        <v>3.3503088013516844E-3</v>
      </c>
      <c r="AE95" s="36">
        <v>4.3899193832361016E-3</v>
      </c>
      <c r="AF95" s="36">
        <v>5.2447964749439014E-3</v>
      </c>
      <c r="AG95" s="36">
        <v>5.8278674365114663E-3</v>
      </c>
      <c r="AH95" s="36">
        <v>7.1985067484904948E-3</v>
      </c>
      <c r="AI95" s="36">
        <v>1.17178478625562E-2</v>
      </c>
      <c r="AJ95" s="36">
        <v>2.0899965031134435E-2</v>
      </c>
      <c r="AK95" s="36">
        <v>2.5429507989149461E-2</v>
      </c>
      <c r="AL95" s="36">
        <v>2.6758829523167389E-2</v>
      </c>
      <c r="AM95" s="36">
        <v>4.6740201189963918E-3</v>
      </c>
      <c r="AN95" s="36">
        <v>5.3671721948255688E-3</v>
      </c>
      <c r="AO95" s="36">
        <v>4.885009461844861E-3</v>
      </c>
      <c r="AP95" s="36">
        <v>5.6481797312909025E-3</v>
      </c>
      <c r="AQ95" s="36">
        <v>5.9968277305087131E-3</v>
      </c>
      <c r="AR95" s="36">
        <v>5.8209332769903113E-3</v>
      </c>
      <c r="AS95" s="36">
        <v>7.1271690809889795E-3</v>
      </c>
      <c r="AT95" s="36">
        <v>8.5627775377688682E-3</v>
      </c>
      <c r="AU95" s="36">
        <v>8.9627445882545561E-3</v>
      </c>
      <c r="AV95" s="36">
        <v>1.078507256279043E-2</v>
      </c>
      <c r="AW95" s="36">
        <v>1.666616890774553E-2</v>
      </c>
      <c r="AX95" s="36">
        <v>2.7441370093673811E-2</v>
      </c>
      <c r="AY95" s="36">
        <v>3.2566802368778548E-2</v>
      </c>
      <c r="AZ95" s="36">
        <v>3.4387254385709151E-2</v>
      </c>
      <c r="BA95" s="36">
        <v>1.275812463760421E-3</v>
      </c>
      <c r="BB95" s="36">
        <v>1.8772549092157152E-3</v>
      </c>
      <c r="BC95" s="36">
        <v>1.8883505214753766E-3</v>
      </c>
      <c r="BD95" s="36">
        <v>2.5463781248011904E-3</v>
      </c>
      <c r="BE95" s="36">
        <v>3.0419829248876425E-3</v>
      </c>
      <c r="BF95" s="36">
        <v>3.3396791518819332E-3</v>
      </c>
      <c r="BG95" s="36">
        <v>4.9454003536964818E-3</v>
      </c>
      <c r="BH95" s="36">
        <v>6.4226569861645889E-3</v>
      </c>
      <c r="BI95" s="36">
        <v>5.2394224508902857E-3</v>
      </c>
      <c r="BJ95" s="36">
        <v>6.6577373805031962E-3</v>
      </c>
      <c r="BK95" s="36">
        <v>1.280793095162165E-2</v>
      </c>
      <c r="BL95" s="36">
        <v>2.8938481205479285E-2</v>
      </c>
      <c r="BM95" s="36">
        <v>3.4897710977537022E-2</v>
      </c>
      <c r="BN95" s="36">
        <v>3.7390299040500154E-2</v>
      </c>
    </row>
    <row r="96" spans="1:66">
      <c r="A96" s="36">
        <v>0.97164843662320899</v>
      </c>
      <c r="B96" s="36">
        <v>1.3474561175328568</v>
      </c>
      <c r="C96" s="36">
        <v>1.6164478640015476</v>
      </c>
      <c r="D96" s="36">
        <v>0.31957170534694751</v>
      </c>
      <c r="E96" s="36">
        <v>2.8465799878535498</v>
      </c>
      <c r="F96" s="36">
        <v>10.961780291722912</v>
      </c>
      <c r="G96" s="36">
        <v>223.30207476343355</v>
      </c>
      <c r="H96" s="36">
        <v>15118.767708297144</v>
      </c>
      <c r="I96" s="36">
        <v>1679.2852475642601</v>
      </c>
      <c r="J96" s="36">
        <v>1.2561773233107676</v>
      </c>
      <c r="K96" s="36">
        <v>1.1583916925791969E-2</v>
      </c>
      <c r="L96" s="36">
        <v>1.1416845001431598E-2</v>
      </c>
      <c r="M96" s="36">
        <v>1.0677412930252848E-2</v>
      </c>
      <c r="N96" s="36">
        <v>1.2036047434042777E-2</v>
      </c>
      <c r="O96" s="36">
        <v>1.2894837333619617E-2</v>
      </c>
      <c r="P96" s="36">
        <v>1.4725345131186163E-2</v>
      </c>
      <c r="Q96" s="36">
        <v>1.4240265450944563E-2</v>
      </c>
      <c r="R96" s="36">
        <v>1.5284924740714866E-2</v>
      </c>
      <c r="S96" s="36">
        <v>1.589524803525498E-2</v>
      </c>
      <c r="T96" s="36">
        <v>1.9782298142320204E-2</v>
      </c>
      <c r="U96" s="36">
        <v>2.2667995403871138E-2</v>
      </c>
      <c r="V96" s="36">
        <v>3.1509775001931244E-2</v>
      </c>
      <c r="W96" s="36">
        <v>3.6722509306912343E-2</v>
      </c>
      <c r="X96" s="36">
        <v>3.8209500844263757E-2</v>
      </c>
      <c r="Y96" s="36">
        <v>2.6687082565084539E-3</v>
      </c>
      <c r="Z96" s="36">
        <v>1.5854458793776794E-3</v>
      </c>
      <c r="AA96" s="36">
        <v>1.3438657346453854E-3</v>
      </c>
      <c r="AB96" s="36">
        <v>1.9781187815551154E-3</v>
      </c>
      <c r="AC96" s="36">
        <v>2.587459114428957E-3</v>
      </c>
      <c r="AD96" s="36">
        <v>3.3582521096359114E-3</v>
      </c>
      <c r="AE96" s="36">
        <v>4.384536633849816E-3</v>
      </c>
      <c r="AF96" s="36">
        <v>5.2369242754789014E-3</v>
      </c>
      <c r="AG96" s="36">
        <v>5.9714213860504912E-3</v>
      </c>
      <c r="AH96" s="36">
        <v>7.3480776029096187E-3</v>
      </c>
      <c r="AI96" s="36">
        <v>1.1941414527273011E-2</v>
      </c>
      <c r="AJ96" s="36">
        <v>2.1052890265757043E-2</v>
      </c>
      <c r="AK96" s="36">
        <v>2.5598664654061378E-2</v>
      </c>
      <c r="AL96" s="36">
        <v>2.687455561819219E-2</v>
      </c>
      <c r="AM96" s="36">
        <v>4.6845339529025956E-3</v>
      </c>
      <c r="AN96" s="36">
        <v>5.3478736994441532E-3</v>
      </c>
      <c r="AO96" s="36">
        <v>4.8794000406752148E-3</v>
      </c>
      <c r="AP96" s="36">
        <v>5.6478535646392802E-3</v>
      </c>
      <c r="AQ96" s="36">
        <v>5.995882807052634E-3</v>
      </c>
      <c r="AR96" s="36">
        <v>5.8193347624410129E-3</v>
      </c>
      <c r="AS96" s="36">
        <v>7.1340903677889452E-3</v>
      </c>
      <c r="AT96" s="36">
        <v>8.5819964301682185E-3</v>
      </c>
      <c r="AU96" s="36">
        <v>9.2101472177134134E-3</v>
      </c>
      <c r="AV96" s="36">
        <v>1.1003520760117104E-2</v>
      </c>
      <c r="AW96" s="36">
        <v>1.6853017929932226E-2</v>
      </c>
      <c r="AX96" s="36">
        <v>2.746540385731578E-2</v>
      </c>
      <c r="AY96" s="36">
        <v>3.2528328122730286E-2</v>
      </c>
      <c r="AZ96" s="36">
        <v>3.4356381397758311E-2</v>
      </c>
      <c r="BA96" s="36">
        <v>1.4357893424286352E-3</v>
      </c>
      <c r="BB96" s="36">
        <v>1.8553731628426105E-3</v>
      </c>
      <c r="BC96" s="36">
        <v>1.8856277696384747E-3</v>
      </c>
      <c r="BD96" s="36">
        <v>2.5633962135445565E-3</v>
      </c>
      <c r="BE96" s="36">
        <v>3.0586713394566965E-3</v>
      </c>
      <c r="BF96" s="36">
        <v>3.3395179876473022E-3</v>
      </c>
      <c r="BG96" s="36">
        <v>4.9327490790924125E-3</v>
      </c>
      <c r="BH96" s="36">
        <v>6.3987760549278454E-3</v>
      </c>
      <c r="BI96" s="36">
        <v>5.2137649543895588E-3</v>
      </c>
      <c r="BJ96" s="36">
        <v>6.6542113215262285E-3</v>
      </c>
      <c r="BK96" s="36">
        <v>1.279046889700948E-2</v>
      </c>
      <c r="BL96" s="36">
        <v>2.8954861385591685E-2</v>
      </c>
      <c r="BM96" s="36">
        <v>3.4861711465836706E-2</v>
      </c>
      <c r="BN96" s="36">
        <v>3.7348509392648846E-2</v>
      </c>
    </row>
    <row r="97" spans="1:66">
      <c r="A97" s="36">
        <v>0.96974529904591689</v>
      </c>
      <c r="B97" s="36">
        <v>1.3487566135749856</v>
      </c>
      <c r="C97" s="36">
        <v>1.6089309111085897</v>
      </c>
      <c r="D97" s="36">
        <v>0.31940810311990353</v>
      </c>
      <c r="E97" s="36">
        <v>2.7600775766649517</v>
      </c>
      <c r="F97" s="36">
        <v>10.792103790562019</v>
      </c>
      <c r="G97" s="36">
        <v>224.82350436628775</v>
      </c>
      <c r="H97" s="36">
        <v>15118.762898506393</v>
      </c>
      <c r="I97" s="36">
        <v>1679.2814622783742</v>
      </c>
      <c r="J97" s="36">
        <v>1.2404152854902428</v>
      </c>
      <c r="K97" s="36">
        <v>1.0816012365829774E-2</v>
      </c>
      <c r="L97" s="36">
        <v>1.1228627872863679E-2</v>
      </c>
      <c r="M97" s="36">
        <v>1.0596507402283182E-2</v>
      </c>
      <c r="N97" s="36">
        <v>1.1910080840340231E-2</v>
      </c>
      <c r="O97" s="36">
        <v>1.2834595652978587E-2</v>
      </c>
      <c r="P97" s="36">
        <v>1.4527639304672027E-2</v>
      </c>
      <c r="Q97" s="36">
        <v>1.4162157392750082E-2</v>
      </c>
      <c r="R97" s="36">
        <v>1.5190106588704313E-2</v>
      </c>
      <c r="S97" s="36">
        <v>1.5751768866138115E-2</v>
      </c>
      <c r="T97" s="36">
        <v>1.9484634983677685E-2</v>
      </c>
      <c r="U97" s="36">
        <v>2.2271190828368148E-2</v>
      </c>
      <c r="V97" s="36">
        <v>3.1066166340505838E-2</v>
      </c>
      <c r="W97" s="36">
        <v>3.6393509866623798E-2</v>
      </c>
      <c r="X97" s="36">
        <v>3.7927697402648397E-2</v>
      </c>
      <c r="Y97" s="36">
        <v>4.9102685502920638E-4</v>
      </c>
      <c r="Z97" s="36">
        <v>1.3571607661893867E-3</v>
      </c>
      <c r="AA97" s="36">
        <v>1.2895693446600023E-3</v>
      </c>
      <c r="AB97" s="36">
        <v>1.9099836750260393E-3</v>
      </c>
      <c r="AC97" s="36">
        <v>2.504479912981672E-3</v>
      </c>
      <c r="AD97" s="36">
        <v>3.3271418695729762E-3</v>
      </c>
      <c r="AE97" s="36">
        <v>4.3604613812779263E-3</v>
      </c>
      <c r="AF97" s="36">
        <v>5.2385789265293574E-3</v>
      </c>
      <c r="AG97" s="36">
        <v>5.6135233053335185E-3</v>
      </c>
      <c r="AH97" s="36">
        <v>6.9195439086632768E-3</v>
      </c>
      <c r="AI97" s="36">
        <v>1.1397588963468781E-2</v>
      </c>
      <c r="AJ97" s="36">
        <v>2.0640921992196828E-2</v>
      </c>
      <c r="AK97" s="36">
        <v>2.5194303234775756E-2</v>
      </c>
      <c r="AL97" s="36">
        <v>2.6626617612579721E-2</v>
      </c>
      <c r="AM97" s="36">
        <v>4.7842033992182478E-3</v>
      </c>
      <c r="AN97" s="36">
        <v>5.2302423288078329E-3</v>
      </c>
      <c r="AO97" s="36">
        <v>4.8525216383513174E-3</v>
      </c>
      <c r="AP97" s="36">
        <v>5.62654081583293E-3</v>
      </c>
      <c r="AQ97" s="36">
        <v>5.9670508063970557E-3</v>
      </c>
      <c r="AR97" s="36">
        <v>5.79978523976739E-3</v>
      </c>
      <c r="AS97" s="36">
        <v>7.1117703717858373E-3</v>
      </c>
      <c r="AT97" s="36">
        <v>8.5632034453905301E-3</v>
      </c>
      <c r="AU97" s="36">
        <v>8.7681000765395707E-3</v>
      </c>
      <c r="AV97" s="36">
        <v>1.0485843368526758E-2</v>
      </c>
      <c r="AW97" s="36">
        <v>1.6208212471768582E-2</v>
      </c>
      <c r="AX97" s="36">
        <v>2.6919731064547057E-2</v>
      </c>
      <c r="AY97" s="36">
        <v>3.2076244010482986E-2</v>
      </c>
      <c r="AZ97" s="36">
        <v>3.3940442896501631E-2</v>
      </c>
      <c r="BA97" s="36">
        <v>9.9844672906470797E-4</v>
      </c>
      <c r="BB97" s="36">
        <v>1.4632909312039834E-3</v>
      </c>
      <c r="BC97" s="36">
        <v>1.7665142573871887E-3</v>
      </c>
      <c r="BD97" s="36">
        <v>2.4673671938012743E-3</v>
      </c>
      <c r="BE97" s="36">
        <v>2.9762420584019175E-3</v>
      </c>
      <c r="BF97" s="36">
        <v>3.288779635852169E-3</v>
      </c>
      <c r="BG97" s="36">
        <v>4.8758278236943463E-3</v>
      </c>
      <c r="BH97" s="36">
        <v>6.3398762498291152E-3</v>
      </c>
      <c r="BI97" s="36">
        <v>5.0025888658337698E-3</v>
      </c>
      <c r="BJ97" s="36">
        <v>6.2722874431715694E-3</v>
      </c>
      <c r="BK97" s="36">
        <v>1.2183671623005248E-2</v>
      </c>
      <c r="BL97" s="36">
        <v>2.8311072561572097E-2</v>
      </c>
      <c r="BM97" s="36">
        <v>3.4402522447139962E-2</v>
      </c>
      <c r="BN97" s="36">
        <v>3.7040674007729334E-2</v>
      </c>
    </row>
    <row r="98" spans="1:66">
      <c r="A98" s="36">
        <v>0.97312027239941334</v>
      </c>
      <c r="B98" s="36">
        <v>1.3510301680419194</v>
      </c>
      <c r="C98" s="36">
        <v>1.6210131302879238</v>
      </c>
      <c r="D98" s="36">
        <v>0.32154494255566579</v>
      </c>
      <c r="E98" s="36">
        <v>2.8038117267814817</v>
      </c>
      <c r="F98" s="36">
        <v>10.665580578724871</v>
      </c>
      <c r="G98" s="36">
        <v>221.28040706285097</v>
      </c>
      <c r="H98" s="36">
        <v>15118.758226575641</v>
      </c>
      <c r="I98" s="36">
        <v>1679.2759418993369</v>
      </c>
      <c r="J98" s="36">
        <v>1.2556072927538042</v>
      </c>
      <c r="K98" s="36">
        <v>1.0933591676926101E-2</v>
      </c>
      <c r="L98" s="36">
        <v>1.1201350590026426E-2</v>
      </c>
      <c r="M98" s="36">
        <v>1.0691913186687208E-2</v>
      </c>
      <c r="N98" s="36">
        <v>1.1976427572657388E-2</v>
      </c>
      <c r="O98" s="36">
        <v>1.2939468699210074E-2</v>
      </c>
      <c r="P98" s="36">
        <v>1.482120112788681E-2</v>
      </c>
      <c r="Q98" s="36">
        <v>1.4378731170596874E-2</v>
      </c>
      <c r="R98" s="36">
        <v>1.5455027233875273E-2</v>
      </c>
      <c r="S98" s="36">
        <v>1.6046524586954679E-2</v>
      </c>
      <c r="T98" s="36">
        <v>1.9855758483733665E-2</v>
      </c>
      <c r="U98" s="36">
        <v>2.2674031604195937E-2</v>
      </c>
      <c r="V98" s="36">
        <v>3.1515314827695248E-2</v>
      </c>
      <c r="W98" s="36">
        <v>3.6701183005035429E-2</v>
      </c>
      <c r="X98" s="36">
        <v>3.8177945339399028E-2</v>
      </c>
      <c r="Y98" s="36">
        <v>1.3701948429320791E-3</v>
      </c>
      <c r="Z98" s="36">
        <v>1.5280853483763245E-3</v>
      </c>
      <c r="AA98" s="36">
        <v>1.331829378373555E-3</v>
      </c>
      <c r="AB98" s="36">
        <v>1.9441899257614283E-3</v>
      </c>
      <c r="AC98" s="36">
        <v>2.5553785647556633E-3</v>
      </c>
      <c r="AD98" s="36">
        <v>3.3637211803804836E-3</v>
      </c>
      <c r="AE98" s="36">
        <v>4.3916687645675478E-3</v>
      </c>
      <c r="AF98" s="36">
        <v>5.2731022555091676E-3</v>
      </c>
      <c r="AG98" s="36">
        <v>5.9082252445139998E-3</v>
      </c>
      <c r="AH98" s="36">
        <v>7.2646704504499976E-3</v>
      </c>
      <c r="AI98" s="36">
        <v>1.1740216049049939E-2</v>
      </c>
      <c r="AJ98" s="36">
        <v>2.0769794401210018E-2</v>
      </c>
      <c r="AK98" s="36">
        <v>2.5336487760439272E-2</v>
      </c>
      <c r="AL98" s="36">
        <v>2.6623031967337882E-2</v>
      </c>
      <c r="AM98" s="36">
        <v>4.7496514099441079E-3</v>
      </c>
      <c r="AN98" s="36">
        <v>5.4237796579071169E-3</v>
      </c>
      <c r="AO98" s="36">
        <v>4.9005315304366829E-3</v>
      </c>
      <c r="AP98" s="36">
        <v>5.6554186256198204E-3</v>
      </c>
      <c r="AQ98" s="36">
        <v>5.9872259631883482E-3</v>
      </c>
      <c r="AR98" s="36">
        <v>5.829562765857197E-3</v>
      </c>
      <c r="AS98" s="36">
        <v>7.1600094464239934E-3</v>
      </c>
      <c r="AT98" s="36">
        <v>8.6261446018902586E-3</v>
      </c>
      <c r="AU98" s="36">
        <v>9.152403220635737E-3</v>
      </c>
      <c r="AV98" s="36">
        <v>1.0901645806818298E-2</v>
      </c>
      <c r="AW98" s="36">
        <v>1.6675305965548455E-2</v>
      </c>
      <c r="AX98" s="36">
        <v>2.7255659967254722E-2</v>
      </c>
      <c r="AY98" s="36">
        <v>3.2274499720310913E-2</v>
      </c>
      <c r="AZ98" s="36">
        <v>3.4118392493422758E-2</v>
      </c>
      <c r="BA98" s="36">
        <v>1.091853301045359E-3</v>
      </c>
      <c r="BB98" s="36">
        <v>1.7243302179619896E-3</v>
      </c>
      <c r="BC98" s="36">
        <v>1.8522307221466882E-3</v>
      </c>
      <c r="BD98" s="36">
        <v>2.539092344884778E-3</v>
      </c>
      <c r="BE98" s="36">
        <v>3.017383985204404E-3</v>
      </c>
      <c r="BF98" s="36">
        <v>3.3347142561099977E-3</v>
      </c>
      <c r="BG98" s="36">
        <v>4.9428058481704963E-3</v>
      </c>
      <c r="BH98" s="36">
        <v>6.4224555384646892E-3</v>
      </c>
      <c r="BI98" s="36">
        <v>5.2691327574337869E-3</v>
      </c>
      <c r="BJ98" s="36">
        <v>6.7364861571106577E-3</v>
      </c>
      <c r="BK98" s="36">
        <v>1.2792419418374043E-2</v>
      </c>
      <c r="BL98" s="36">
        <v>2.8993490053285886E-2</v>
      </c>
      <c r="BM98" s="36">
        <v>3.5013698623325033E-2</v>
      </c>
      <c r="BN98" s="36">
        <v>3.751430888801352E-2</v>
      </c>
    </row>
    <row r="99" spans="1:66">
      <c r="A99" s="36">
        <v>0.97173467451494588</v>
      </c>
      <c r="B99" s="36">
        <v>1.3536565300077126</v>
      </c>
      <c r="C99" s="36">
        <v>1.6161723617389823</v>
      </c>
      <c r="D99" s="36">
        <v>0.32102524036188851</v>
      </c>
      <c r="E99" s="36">
        <v>2.7869196967147856</v>
      </c>
      <c r="F99" s="36">
        <v>10.668150230548571</v>
      </c>
      <c r="G99" s="36">
        <v>220.89583749355782</v>
      </c>
      <c r="H99" s="36">
        <v>15118.761606942855</v>
      </c>
      <c r="I99" s="36">
        <v>1679.2802022872484</v>
      </c>
      <c r="J99" s="36">
        <v>1.2436717922520564</v>
      </c>
      <c r="K99" s="36">
        <v>1.127349130895002E-2</v>
      </c>
      <c r="L99" s="36">
        <v>1.1336691405908922E-2</v>
      </c>
      <c r="M99" s="36">
        <v>1.0684769311839475E-2</v>
      </c>
      <c r="N99" s="36">
        <v>1.1973904994100632E-2</v>
      </c>
      <c r="O99" s="36">
        <v>1.2824302937448054E-2</v>
      </c>
      <c r="P99" s="36">
        <v>1.4503831644891487E-2</v>
      </c>
      <c r="Q99" s="36">
        <v>1.4223394023813967E-2</v>
      </c>
      <c r="R99" s="36">
        <v>1.5292281475271979E-2</v>
      </c>
      <c r="S99" s="36">
        <v>1.5945048322030635E-2</v>
      </c>
      <c r="T99" s="36">
        <v>1.9745678238798994E-2</v>
      </c>
      <c r="U99" s="36">
        <v>2.2690605198169098E-2</v>
      </c>
      <c r="V99" s="36">
        <v>3.1433866601102964E-2</v>
      </c>
      <c r="W99" s="36">
        <v>3.6830731375343768E-2</v>
      </c>
      <c r="X99" s="36">
        <v>3.8273373295393584E-2</v>
      </c>
      <c r="Y99" s="36">
        <v>8.8112294227752242E-4</v>
      </c>
      <c r="Z99" s="36">
        <v>1.6062749864175199E-3</v>
      </c>
      <c r="AA99" s="36">
        <v>1.3010735090137331E-3</v>
      </c>
      <c r="AB99" s="36">
        <v>1.906170550896486E-3</v>
      </c>
      <c r="AC99" s="36">
        <v>2.5350184490263955E-3</v>
      </c>
      <c r="AD99" s="36">
        <v>3.3424796404316016E-3</v>
      </c>
      <c r="AE99" s="36">
        <v>4.3865669708548476E-3</v>
      </c>
      <c r="AF99" s="36">
        <v>5.2302027778308837E-3</v>
      </c>
      <c r="AG99" s="36">
        <v>5.7851054129675001E-3</v>
      </c>
      <c r="AH99" s="36">
        <v>7.1222276274411885E-3</v>
      </c>
      <c r="AI99" s="36">
        <v>1.1657443324656501E-2</v>
      </c>
      <c r="AJ99" s="36">
        <v>2.0903765193801108E-2</v>
      </c>
      <c r="AK99" s="36">
        <v>2.545078427132064E-2</v>
      </c>
      <c r="AL99" s="36">
        <v>2.6787649616107363E-2</v>
      </c>
      <c r="AM99" s="36">
        <v>4.7426548924771467E-3</v>
      </c>
      <c r="AN99" s="36">
        <v>5.5308172746496229E-3</v>
      </c>
      <c r="AO99" s="36">
        <v>4.915919055097571E-3</v>
      </c>
      <c r="AP99" s="36">
        <v>5.6618947867010175E-3</v>
      </c>
      <c r="AQ99" s="36">
        <v>5.992811034052109E-3</v>
      </c>
      <c r="AR99" s="36">
        <v>5.8157374857083785E-3</v>
      </c>
      <c r="AS99" s="36">
        <v>7.1259187982741518E-3</v>
      </c>
      <c r="AT99" s="36">
        <v>8.5769738926394206E-3</v>
      </c>
      <c r="AU99" s="36">
        <v>9.0701475727597188E-3</v>
      </c>
      <c r="AV99" s="36">
        <v>1.0910463610625084E-2</v>
      </c>
      <c r="AW99" s="36">
        <v>1.6805378483166055E-2</v>
      </c>
      <c r="AX99" s="36">
        <v>2.7461200432614505E-2</v>
      </c>
      <c r="AY99" s="36">
        <v>3.2569298121309417E-2</v>
      </c>
      <c r="AZ99" s="36">
        <v>3.4404885037682652E-2</v>
      </c>
      <c r="BA99" s="36">
        <v>1.242129043454977E-3</v>
      </c>
      <c r="BB99" s="36">
        <v>2.1853667404796821E-3</v>
      </c>
      <c r="BC99" s="36">
        <v>1.9397218017291609E-3</v>
      </c>
      <c r="BD99" s="36">
        <v>2.5373827631610022E-3</v>
      </c>
      <c r="BE99" s="36">
        <v>3.0352011446241407E-3</v>
      </c>
      <c r="BF99" s="36">
        <v>3.3078342052547337E-3</v>
      </c>
      <c r="BG99" s="36">
        <v>4.8832816960612084E-3</v>
      </c>
      <c r="BH99" s="36">
        <v>6.335120031633364E-3</v>
      </c>
      <c r="BI99" s="36">
        <v>5.2153886938466256E-3</v>
      </c>
      <c r="BJ99" s="36">
        <v>6.5188208530385658E-3</v>
      </c>
      <c r="BK99" s="36">
        <v>1.2671084677176035E-2</v>
      </c>
      <c r="BL99" s="36">
        <v>2.8719198337793257E-2</v>
      </c>
      <c r="BM99" s="36">
        <v>3.4738529577057295E-2</v>
      </c>
      <c r="BN99" s="36">
        <v>3.720927266287094E-2</v>
      </c>
    </row>
    <row r="100" spans="1:66">
      <c r="A100" s="36">
        <v>0.97398921573044561</v>
      </c>
      <c r="B100" s="36">
        <v>1.3497079769174869</v>
      </c>
      <c r="C100" s="36">
        <v>1.617833064807553</v>
      </c>
      <c r="D100" s="36">
        <v>0.32020540569481032</v>
      </c>
      <c r="E100" s="36">
        <v>2.7499012819151387</v>
      </c>
      <c r="F100" s="36">
        <v>10.680207310121416</v>
      </c>
      <c r="G100" s="36">
        <v>223.95522099761837</v>
      </c>
      <c r="H100" s="36">
        <v>15118.76426417634</v>
      </c>
      <c r="I100" s="36">
        <v>1679.2802521464678</v>
      </c>
      <c r="J100" s="36">
        <v>1.250650847432953</v>
      </c>
      <c r="K100" s="36">
        <v>1.1293371565741244E-2</v>
      </c>
      <c r="L100" s="36">
        <v>1.127701703653994E-2</v>
      </c>
      <c r="M100" s="36">
        <v>1.0789671400957431E-2</v>
      </c>
      <c r="N100" s="36">
        <v>1.21040714759148E-2</v>
      </c>
      <c r="O100" s="36">
        <v>1.2983207844511898E-2</v>
      </c>
      <c r="P100" s="36">
        <v>1.4764816644295452E-2</v>
      </c>
      <c r="Q100" s="36">
        <v>1.4331490296788431E-2</v>
      </c>
      <c r="R100" s="36">
        <v>1.4777872198652642E-2</v>
      </c>
      <c r="S100" s="36">
        <v>1.590671078378628E-2</v>
      </c>
      <c r="T100" s="36">
        <v>1.963444807820601E-2</v>
      </c>
      <c r="U100" s="36">
        <v>2.2336747698833724E-2</v>
      </c>
      <c r="V100" s="36">
        <v>3.0992782619912798E-2</v>
      </c>
      <c r="W100" s="36">
        <v>3.6145871681698388E-2</v>
      </c>
      <c r="X100" s="36">
        <v>3.7624261816348224E-2</v>
      </c>
      <c r="Y100" s="36">
        <v>1.6221361769051159E-3</v>
      </c>
      <c r="Z100" s="36">
        <v>1.5047525401227608E-3</v>
      </c>
      <c r="AA100" s="36">
        <v>1.3290513541273329E-3</v>
      </c>
      <c r="AB100" s="36">
        <v>1.9521314305989772E-3</v>
      </c>
      <c r="AC100" s="36">
        <v>2.5353606500093419E-3</v>
      </c>
      <c r="AD100" s="36">
        <v>3.3250817949179927E-3</v>
      </c>
      <c r="AE100" s="36">
        <v>4.3643124299294137E-3</v>
      </c>
      <c r="AF100" s="36">
        <v>5.2305635600511883E-3</v>
      </c>
      <c r="AG100" s="36">
        <v>5.7488541817234014E-3</v>
      </c>
      <c r="AH100" s="36">
        <v>7.0690355780081513E-3</v>
      </c>
      <c r="AI100" s="36">
        <v>1.1541324457131097E-2</v>
      </c>
      <c r="AJ100" s="36">
        <v>2.0662295841208871E-2</v>
      </c>
      <c r="AK100" s="36">
        <v>2.5211245320708002E-2</v>
      </c>
      <c r="AL100" s="36">
        <v>2.6494121727144954E-2</v>
      </c>
      <c r="AM100" s="36">
        <v>4.6912320161531665E-3</v>
      </c>
      <c r="AN100" s="36">
        <v>5.3440933333014536E-3</v>
      </c>
      <c r="AO100" s="36">
        <v>4.880657027183927E-3</v>
      </c>
      <c r="AP100" s="36">
        <v>5.6424629467762564E-3</v>
      </c>
      <c r="AQ100" s="36">
        <v>5.984593793666928E-3</v>
      </c>
      <c r="AR100" s="36">
        <v>5.8077244062481629E-3</v>
      </c>
      <c r="AS100" s="36">
        <v>7.1034473762252226E-3</v>
      </c>
      <c r="AT100" s="36">
        <v>8.5397622984662649E-3</v>
      </c>
      <c r="AU100" s="36">
        <v>8.9755029212359051E-3</v>
      </c>
      <c r="AV100" s="36">
        <v>1.0675976378558589E-2</v>
      </c>
      <c r="AW100" s="36">
        <v>1.6342562992469646E-2</v>
      </c>
      <c r="AX100" s="36">
        <v>2.6897030712013961E-2</v>
      </c>
      <c r="AY100" s="36">
        <v>3.2063643747696595E-2</v>
      </c>
      <c r="AZ100" s="36">
        <v>3.4015196198831435E-2</v>
      </c>
      <c r="BA100" s="36">
        <v>1.4658171865066798E-3</v>
      </c>
      <c r="BB100" s="36">
        <v>1.8068620523143417E-3</v>
      </c>
      <c r="BC100" s="36">
        <v>1.8756683164644851E-3</v>
      </c>
      <c r="BD100" s="36">
        <v>2.5347439830137064E-3</v>
      </c>
      <c r="BE100" s="36">
        <v>3.019797796872416E-3</v>
      </c>
      <c r="BF100" s="36">
        <v>3.3051538339370287E-3</v>
      </c>
      <c r="BG100" s="36">
        <v>4.8959292254079807E-3</v>
      </c>
      <c r="BH100" s="36">
        <v>6.3649148134251494E-3</v>
      </c>
      <c r="BI100" s="36">
        <v>5.012877710309168E-3</v>
      </c>
      <c r="BJ100" s="36">
        <v>6.3870390107324572E-3</v>
      </c>
      <c r="BK100" s="36">
        <v>1.2264909628924802E-2</v>
      </c>
      <c r="BL100" s="36">
        <v>2.8276681262788112E-2</v>
      </c>
      <c r="BM100" s="36">
        <v>3.437657121030227E-2</v>
      </c>
      <c r="BN100" s="36">
        <v>3.6914700124618061E-2</v>
      </c>
    </row>
    <row r="101" spans="1:66">
      <c r="A101" s="36">
        <v>0.96894079173894931</v>
      </c>
      <c r="B101" s="36">
        <v>1.3479502563106658</v>
      </c>
      <c r="C101" s="36">
        <v>1.6122933211418058</v>
      </c>
      <c r="D101" s="36">
        <v>0.31945933712827568</v>
      </c>
      <c r="E101" s="36">
        <v>2.8380047937967166</v>
      </c>
      <c r="F101" s="36">
        <v>10.777827302292955</v>
      </c>
      <c r="G101" s="36">
        <v>225.58620398343052</v>
      </c>
      <c r="H101" s="36">
        <v>15118.763274765914</v>
      </c>
      <c r="I101" s="36">
        <v>1679.283191345243</v>
      </c>
      <c r="J101" s="36">
        <v>1.226527736184881</v>
      </c>
      <c r="K101" s="36">
        <v>1.0872377658245053E-2</v>
      </c>
      <c r="L101" s="36">
        <v>1.0886404493596328E-2</v>
      </c>
      <c r="M101" s="36">
        <v>1.0411628941436756E-2</v>
      </c>
      <c r="N101" s="36">
        <v>1.1795270961769057E-2</v>
      </c>
      <c r="O101" s="36">
        <v>1.267730553900224E-2</v>
      </c>
      <c r="P101" s="36">
        <v>1.445575595202425E-2</v>
      </c>
      <c r="Q101" s="36">
        <v>1.4052717279445688E-2</v>
      </c>
      <c r="R101" s="36">
        <v>1.5576187832475203E-2</v>
      </c>
      <c r="S101" s="36">
        <v>1.5892512217962777E-2</v>
      </c>
      <c r="T101" s="36">
        <v>1.9799175339762557E-2</v>
      </c>
      <c r="U101" s="36">
        <v>2.275075250088552E-2</v>
      </c>
      <c r="V101" s="36">
        <v>3.1605494690186593E-2</v>
      </c>
      <c r="W101" s="36">
        <v>3.6884278911658887E-2</v>
      </c>
      <c r="X101" s="36">
        <v>3.8429399047025282E-2</v>
      </c>
      <c r="Y101" s="36">
        <v>2.9404644624348281E-3</v>
      </c>
      <c r="Z101" s="36">
        <v>1.4584352881085228E-3</v>
      </c>
      <c r="AA101" s="36">
        <v>1.2988261749812748E-3</v>
      </c>
      <c r="AB101" s="36">
        <v>1.9120184865096237E-3</v>
      </c>
      <c r="AC101" s="36">
        <v>2.5455697891473969E-3</v>
      </c>
      <c r="AD101" s="36">
        <v>3.329025936539633E-3</v>
      </c>
      <c r="AE101" s="36">
        <v>4.3699111310252538E-3</v>
      </c>
      <c r="AF101" s="36">
        <v>5.2299971351170427E-3</v>
      </c>
      <c r="AG101" s="36">
        <v>5.9793324501851508E-3</v>
      </c>
      <c r="AH101" s="36">
        <v>7.3784766640755395E-3</v>
      </c>
      <c r="AI101" s="36">
        <v>1.201157807367953E-2</v>
      </c>
      <c r="AJ101" s="36">
        <v>2.1197756713964483E-2</v>
      </c>
      <c r="AK101" s="36">
        <v>2.5802800629894245E-2</v>
      </c>
      <c r="AL101" s="36">
        <v>2.704995743874123E-2</v>
      </c>
      <c r="AM101" s="36">
        <v>4.7135740069541108E-3</v>
      </c>
      <c r="AN101" s="36">
        <v>5.4510715959228025E-3</v>
      </c>
      <c r="AO101" s="36">
        <v>4.8973000724400473E-3</v>
      </c>
      <c r="AP101" s="36">
        <v>5.6524706103723323E-3</v>
      </c>
      <c r="AQ101" s="36">
        <v>6.0007384418507038E-3</v>
      </c>
      <c r="AR101" s="36">
        <v>5.8137555019662449E-3</v>
      </c>
      <c r="AS101" s="36">
        <v>7.1181117733038713E-3</v>
      </c>
      <c r="AT101" s="36">
        <v>8.5643417642688908E-3</v>
      </c>
      <c r="AU101" s="36">
        <v>9.1410956694082356E-3</v>
      </c>
      <c r="AV101" s="36">
        <v>1.0977506269900891E-2</v>
      </c>
      <c r="AW101" s="36">
        <v>1.6914245308177246E-2</v>
      </c>
      <c r="AX101" s="36">
        <v>2.7714990488195392E-2</v>
      </c>
      <c r="AY101" s="36">
        <v>3.2805465747263278E-2</v>
      </c>
      <c r="AZ101" s="36">
        <v>3.4652294385601551E-2</v>
      </c>
      <c r="BA101" s="36">
        <v>1.0164361449733828E-3</v>
      </c>
      <c r="BB101" s="36">
        <v>2.0959315875233218E-3</v>
      </c>
      <c r="BC101" s="36">
        <v>1.9189732296220096E-3</v>
      </c>
      <c r="BD101" s="36">
        <v>2.534966897317309E-3</v>
      </c>
      <c r="BE101" s="36">
        <v>3.0326780623127526E-3</v>
      </c>
      <c r="BF101" s="36">
        <v>3.3225145658758249E-3</v>
      </c>
      <c r="BG101" s="36">
        <v>4.9205948591347273E-3</v>
      </c>
      <c r="BH101" s="36">
        <v>6.3954883177630272E-3</v>
      </c>
      <c r="BI101" s="36">
        <v>5.3257960019170167E-3</v>
      </c>
      <c r="BJ101" s="36">
        <v>6.7849153760858958E-3</v>
      </c>
      <c r="BK101" s="36">
        <v>1.2878090861914101E-2</v>
      </c>
      <c r="BL101" s="36">
        <v>2.8894856309304662E-2</v>
      </c>
      <c r="BM101" s="36">
        <v>3.4878725290775965E-2</v>
      </c>
      <c r="BN101" s="36">
        <v>3.7302744124439617E-2</v>
      </c>
    </row>
    <row r="102" spans="1:66">
      <c r="A102" s="36">
        <v>0.97145898316628077</v>
      </c>
      <c r="B102" s="36">
        <v>1.3533114323439741</v>
      </c>
      <c r="C102" s="36">
        <v>1.623325687068971</v>
      </c>
      <c r="D102" s="36">
        <v>0.32105370538876743</v>
      </c>
      <c r="E102" s="36">
        <v>2.777324840064332</v>
      </c>
      <c r="F102" s="36">
        <v>10.647805876724552</v>
      </c>
      <c r="G102" s="36">
        <v>224.96492477015369</v>
      </c>
      <c r="H102" s="36">
        <v>15118.761388841127</v>
      </c>
      <c r="I102" s="36">
        <v>1679.2811048697636</v>
      </c>
      <c r="J102" s="36">
        <v>1.2756488113029898</v>
      </c>
      <c r="K102" s="36">
        <v>1.0938399363270797E-2</v>
      </c>
      <c r="L102" s="36">
        <v>1.0916625566389433E-2</v>
      </c>
      <c r="M102" s="36">
        <v>1.0543435965390282E-2</v>
      </c>
      <c r="N102" s="36">
        <v>1.1925107468605443E-2</v>
      </c>
      <c r="O102" s="36">
        <v>1.2843336556780275E-2</v>
      </c>
      <c r="P102" s="36">
        <v>1.4502924367441111E-2</v>
      </c>
      <c r="Q102" s="36">
        <v>1.4143923245413361E-2</v>
      </c>
      <c r="R102" s="36">
        <v>1.4922833357804428E-2</v>
      </c>
      <c r="S102" s="36">
        <v>1.5937817756330113E-2</v>
      </c>
      <c r="T102" s="36">
        <v>1.9838119605505931E-2</v>
      </c>
      <c r="U102" s="36">
        <v>2.2815009948506198E-2</v>
      </c>
      <c r="V102" s="36">
        <v>3.1562448228171475E-2</v>
      </c>
      <c r="W102" s="36">
        <v>3.6766335462308418E-2</v>
      </c>
      <c r="X102" s="36">
        <v>3.8226053692878841E-2</v>
      </c>
      <c r="Y102" s="36">
        <v>1.2472000161881608E-3</v>
      </c>
      <c r="Z102" s="36">
        <v>1.4856114254600959E-3</v>
      </c>
      <c r="AA102" s="36">
        <v>1.2828952114218133E-3</v>
      </c>
      <c r="AB102" s="36">
        <v>1.8760556019022385E-3</v>
      </c>
      <c r="AC102" s="36">
        <v>2.4822698987831729E-3</v>
      </c>
      <c r="AD102" s="36">
        <v>3.3166600082065278E-3</v>
      </c>
      <c r="AE102" s="36">
        <v>4.358167010586912E-3</v>
      </c>
      <c r="AF102" s="36">
        <v>5.2389116630703267E-3</v>
      </c>
      <c r="AG102" s="36">
        <v>5.863124070398136E-3</v>
      </c>
      <c r="AH102" s="36">
        <v>7.2978781998214092E-3</v>
      </c>
      <c r="AI102" s="36">
        <v>1.1863130568575502E-2</v>
      </c>
      <c r="AJ102" s="36">
        <v>2.1085175932785083E-2</v>
      </c>
      <c r="AK102" s="36">
        <v>2.559265165578814E-2</v>
      </c>
      <c r="AL102" s="36">
        <v>2.6855194516153116E-2</v>
      </c>
      <c r="AM102" s="36">
        <v>4.8900237807957088E-3</v>
      </c>
      <c r="AN102" s="36">
        <v>5.3001900171813577E-3</v>
      </c>
      <c r="AO102" s="36">
        <v>4.8642946104057372E-3</v>
      </c>
      <c r="AP102" s="36">
        <v>5.6284630352557725E-3</v>
      </c>
      <c r="AQ102" s="36">
        <v>5.9652067420395043E-3</v>
      </c>
      <c r="AR102" s="36">
        <v>5.7909479362161171E-3</v>
      </c>
      <c r="AS102" s="36">
        <v>7.1015920942228009E-3</v>
      </c>
      <c r="AT102" s="36">
        <v>8.5605820476425398E-3</v>
      </c>
      <c r="AU102" s="36">
        <v>9.2811954579675206E-3</v>
      </c>
      <c r="AV102" s="36">
        <v>1.1186524226505741E-2</v>
      </c>
      <c r="AW102" s="36">
        <v>1.7092884639689606E-2</v>
      </c>
      <c r="AX102" s="36">
        <v>2.7752498631915763E-2</v>
      </c>
      <c r="AY102" s="36">
        <v>3.2757582617101537E-2</v>
      </c>
      <c r="AZ102" s="36">
        <v>3.4565292909846466E-2</v>
      </c>
      <c r="BA102" s="36">
        <v>6.6220092264120426E-4</v>
      </c>
      <c r="BB102" s="36">
        <v>1.6240556788285963E-3</v>
      </c>
      <c r="BC102" s="36">
        <v>1.7819605864551583E-3</v>
      </c>
      <c r="BD102" s="36">
        <v>2.4401846205411161E-3</v>
      </c>
      <c r="BE102" s="36">
        <v>2.9494736051362308E-3</v>
      </c>
      <c r="BF102" s="36">
        <v>3.2879832055960636E-3</v>
      </c>
      <c r="BG102" s="36">
        <v>4.8735109888168177E-3</v>
      </c>
      <c r="BH102" s="36">
        <v>6.3359355758479275E-3</v>
      </c>
      <c r="BI102" s="36">
        <v>5.2705798895223283E-3</v>
      </c>
      <c r="BJ102" s="36">
        <v>6.6923384355483152E-3</v>
      </c>
      <c r="BK102" s="36">
        <v>1.2842815035151283E-2</v>
      </c>
      <c r="BL102" s="36">
        <v>2.889623404387583E-2</v>
      </c>
      <c r="BM102" s="36">
        <v>3.4811889249842423E-2</v>
      </c>
      <c r="BN102" s="36">
        <v>3.7241899023500842E-2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F4"/>
  <sheetViews>
    <sheetView workbookViewId="0">
      <selection activeCell="I15" sqref="I15"/>
    </sheetView>
  </sheetViews>
  <sheetFormatPr defaultColWidth="8.81640625" defaultRowHeight="14.5"/>
  <cols>
    <col min="1" max="1" width="14" bestFit="1" customWidth="1"/>
    <col min="2" max="3" width="15.453125" bestFit="1" customWidth="1"/>
    <col min="4" max="4" width="15.36328125" bestFit="1" customWidth="1"/>
  </cols>
  <sheetData>
    <row r="1" spans="1:6">
      <c r="A1" s="65" t="s">
        <v>812</v>
      </c>
      <c r="B1" s="69" t="s">
        <v>19</v>
      </c>
      <c r="C1" s="67"/>
      <c r="D1" s="67"/>
    </row>
    <row r="2" spans="1:6">
      <c r="A2" s="66" t="s">
        <v>813</v>
      </c>
      <c r="B2" s="68"/>
      <c r="C2" s="68"/>
      <c r="D2" s="68"/>
    </row>
    <row r="3" spans="1:6">
      <c r="A3" s="64" t="s">
        <v>781</v>
      </c>
      <c r="B3" s="89">
        <v>1</v>
      </c>
      <c r="C3" s="14">
        <v>1</v>
      </c>
      <c r="D3" s="14">
        <v>1</v>
      </c>
      <c r="E3" s="88"/>
      <c r="F3" s="4"/>
    </row>
    <row r="4" spans="1:6">
      <c r="A4" s="64" t="s">
        <v>782</v>
      </c>
      <c r="B4" s="123" t="s">
        <v>784</v>
      </c>
      <c r="C4" s="123" t="s">
        <v>783</v>
      </c>
      <c r="D4" s="123" t="s">
        <v>785</v>
      </c>
      <c r="E4" s="87"/>
      <c r="F4" s="8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4"/>
  <sheetViews>
    <sheetView workbookViewId="0">
      <selection activeCell="B1" sqref="B1"/>
    </sheetView>
  </sheetViews>
  <sheetFormatPr defaultColWidth="8.81640625" defaultRowHeight="14.5"/>
  <cols>
    <col min="1" max="1" width="17.453125" customWidth="1"/>
    <col min="2" max="2" width="15.453125" bestFit="1" customWidth="1"/>
  </cols>
  <sheetData>
    <row r="1" spans="1:2" ht="19.75" customHeight="1">
      <c r="A1" s="65" t="s">
        <v>807</v>
      </c>
      <c r="B1" s="69" t="s">
        <v>19</v>
      </c>
    </row>
    <row r="2" spans="1:2">
      <c r="A2" s="66" t="s">
        <v>808</v>
      </c>
      <c r="B2" s="68"/>
    </row>
    <row r="3" spans="1:2">
      <c r="A3" s="64" t="s">
        <v>781</v>
      </c>
      <c r="B3" s="14">
        <v>1</v>
      </c>
    </row>
    <row r="4" spans="1:2">
      <c r="A4" s="64" t="s">
        <v>782</v>
      </c>
      <c r="B4" s="123" t="s">
        <v>785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19AF-0348-E045-817C-712ABB76A168}">
  <sheetPr codeName="Sheet33"/>
  <dimension ref="A1:D4"/>
  <sheetViews>
    <sheetView workbookViewId="0">
      <selection activeCell="H22" sqref="H22"/>
    </sheetView>
  </sheetViews>
  <sheetFormatPr defaultColWidth="8.81640625" defaultRowHeight="14.5"/>
  <cols>
    <col min="1" max="1" width="17.453125" style="36" customWidth="1"/>
    <col min="2" max="3" width="15.453125" style="36" bestFit="1" customWidth="1"/>
    <col min="4" max="4" width="15.36328125" style="36" bestFit="1" customWidth="1"/>
    <col min="5" max="16384" width="8.81640625" style="36"/>
  </cols>
  <sheetData>
    <row r="1" spans="1:4" ht="19.75" customHeight="1">
      <c r="A1" s="65" t="s">
        <v>807</v>
      </c>
      <c r="B1" s="69" t="s">
        <v>19</v>
      </c>
      <c r="C1" s="67"/>
      <c r="D1" s="67"/>
    </row>
    <row r="2" spans="1:4">
      <c r="A2" s="66" t="s">
        <v>808</v>
      </c>
      <c r="B2" s="68"/>
      <c r="C2" s="68"/>
      <c r="D2" s="68"/>
    </row>
    <row r="3" spans="1:4">
      <c r="A3" s="64" t="s">
        <v>781</v>
      </c>
      <c r="B3" s="14">
        <v>1</v>
      </c>
      <c r="C3" s="14">
        <v>1</v>
      </c>
      <c r="D3" s="86">
        <v>1</v>
      </c>
    </row>
    <row r="4" spans="1:4">
      <c r="A4" s="64" t="s">
        <v>782</v>
      </c>
      <c r="B4" s="124" t="s">
        <v>824</v>
      </c>
      <c r="C4" s="124" t="s">
        <v>823</v>
      </c>
      <c r="D4" s="124" t="s">
        <v>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212C-6130-6A47-A96A-346E2E683B04}">
  <sheetPr codeName="Sheet35"/>
  <dimension ref="A1:D4"/>
  <sheetViews>
    <sheetView workbookViewId="0">
      <selection activeCell="N17" sqref="N17"/>
    </sheetView>
  </sheetViews>
  <sheetFormatPr defaultColWidth="8.81640625" defaultRowHeight="14.5"/>
  <cols>
    <col min="1" max="1" width="17.453125" style="36" customWidth="1"/>
    <col min="2" max="3" width="15.453125" style="36" bestFit="1" customWidth="1"/>
    <col min="4" max="4" width="15.36328125" style="36" bestFit="1" customWidth="1"/>
    <col min="5" max="16384" width="8.81640625" style="36"/>
  </cols>
  <sheetData>
    <row r="1" spans="1:4" ht="19.75" customHeight="1">
      <c r="A1" s="65" t="s">
        <v>807</v>
      </c>
      <c r="B1" s="69" t="s">
        <v>19</v>
      </c>
      <c r="C1" s="67"/>
      <c r="D1" s="67"/>
    </row>
    <row r="2" spans="1:4">
      <c r="A2" s="66" t="s">
        <v>808</v>
      </c>
      <c r="B2" s="68"/>
      <c r="C2" s="68"/>
      <c r="D2" s="68"/>
    </row>
    <row r="3" spans="1:4">
      <c r="A3" s="64" t="s">
        <v>781</v>
      </c>
      <c r="B3" s="86">
        <v>300</v>
      </c>
      <c r="C3" s="86">
        <v>5</v>
      </c>
      <c r="D3" s="87">
        <v>100</v>
      </c>
    </row>
    <row r="4" spans="1:4">
      <c r="A4" s="64" t="s">
        <v>782</v>
      </c>
      <c r="B4" s="125" t="s">
        <v>799</v>
      </c>
      <c r="C4" s="4" t="s">
        <v>847</v>
      </c>
      <c r="D4" s="87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9C92-30C8-1341-992E-B5B03A4ECF29}">
  <sheetPr codeName="Sheet39"/>
  <dimension ref="A1:S4"/>
  <sheetViews>
    <sheetView workbookViewId="0">
      <selection activeCell="F18" sqref="F18"/>
    </sheetView>
  </sheetViews>
  <sheetFormatPr defaultColWidth="10.90625" defaultRowHeight="14.5"/>
  <cols>
    <col min="2" max="2" width="14.453125" bestFit="1" customWidth="1"/>
    <col min="3" max="4" width="13" bestFit="1" customWidth="1"/>
    <col min="5" max="6" width="13" style="36" customWidth="1"/>
    <col min="7" max="7" width="10" bestFit="1" customWidth="1"/>
  </cols>
  <sheetData>
    <row r="1" spans="1:19">
      <c r="A1" s="65" t="s">
        <v>812</v>
      </c>
      <c r="B1" s="69" t="s">
        <v>19</v>
      </c>
      <c r="C1" s="67"/>
      <c r="D1" s="36"/>
      <c r="G1" s="36"/>
    </row>
    <row r="2" spans="1:19">
      <c r="A2" s="66" t="s">
        <v>813</v>
      </c>
      <c r="B2" s="68"/>
      <c r="C2" s="68"/>
      <c r="D2" s="36"/>
      <c r="G2" s="36"/>
    </row>
    <row r="3" spans="1:19">
      <c r="A3" s="64" t="s">
        <v>781</v>
      </c>
      <c r="B3" s="14">
        <v>500</v>
      </c>
      <c r="C3" s="14">
        <v>-100</v>
      </c>
      <c r="D3" s="14">
        <v>800</v>
      </c>
      <c r="E3" s="14">
        <v>1</v>
      </c>
      <c r="F3" s="14">
        <v>1</v>
      </c>
      <c r="G3" s="86">
        <v>1</v>
      </c>
      <c r="H3" s="86">
        <v>300</v>
      </c>
      <c r="I3" s="86">
        <v>1</v>
      </c>
      <c r="J3" s="8">
        <v>100</v>
      </c>
      <c r="K3" s="86">
        <v>1</v>
      </c>
      <c r="L3" s="86">
        <v>3</v>
      </c>
      <c r="M3" s="86">
        <v>3</v>
      </c>
      <c r="N3" s="87">
        <v>4</v>
      </c>
      <c r="O3" s="86">
        <v>-1</v>
      </c>
      <c r="P3" s="87">
        <v>4</v>
      </c>
      <c r="Q3" s="86">
        <v>-2</v>
      </c>
      <c r="R3" s="87">
        <v>5</v>
      </c>
      <c r="S3" s="86">
        <v>5</v>
      </c>
    </row>
    <row r="4" spans="1:19">
      <c r="A4" s="64" t="s">
        <v>782</v>
      </c>
      <c r="B4" s="124" t="s">
        <v>783</v>
      </c>
      <c r="C4" s="124" t="s">
        <v>784</v>
      </c>
      <c r="D4" s="124" t="s">
        <v>785</v>
      </c>
      <c r="E4" s="124" t="s">
        <v>824</v>
      </c>
      <c r="F4" s="124" t="s">
        <v>823</v>
      </c>
      <c r="G4" s="124" t="s">
        <v>794</v>
      </c>
      <c r="H4" s="124" t="s">
        <v>799</v>
      </c>
      <c r="I4" s="4" t="s">
        <v>847</v>
      </c>
      <c r="J4" s="122" t="s">
        <v>845</v>
      </c>
      <c r="K4" s="87" t="s">
        <v>184</v>
      </c>
      <c r="L4" s="87" t="s">
        <v>184</v>
      </c>
      <c r="M4" s="87" t="s">
        <v>184</v>
      </c>
      <c r="N4" s="87" t="s">
        <v>184</v>
      </c>
      <c r="O4" s="87" t="s">
        <v>184</v>
      </c>
      <c r="P4" s="87" t="s">
        <v>184</v>
      </c>
      <c r="Q4" s="87" t="s">
        <v>184</v>
      </c>
      <c r="R4" s="87" t="s">
        <v>184</v>
      </c>
      <c r="S4" s="87" t="s">
        <v>184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13.453125" style="36" customWidth="1"/>
    <col min="2" max="2" width="16" style="36" customWidth="1"/>
    <col min="3" max="3" width="29.6328125" style="36" customWidth="1"/>
    <col min="4" max="4" width="12.453125" style="36" customWidth="1"/>
    <col min="5" max="5" width="15.81640625" style="36" customWidth="1"/>
    <col min="6" max="6" width="17.453125" style="36" customWidth="1"/>
    <col min="7" max="7" width="16.6328125" style="36" customWidth="1"/>
    <col min="8" max="8" width="41.81640625" style="36" customWidth="1"/>
    <col min="9" max="16384" width="8.81640625" style="36"/>
  </cols>
  <sheetData>
    <row r="1" spans="1:3" ht="23" thickBot="1">
      <c r="A1" s="148" t="s">
        <v>768</v>
      </c>
      <c r="B1" s="149"/>
      <c r="C1" s="76"/>
    </row>
    <row r="2" spans="1:3">
      <c r="A2" s="51" t="s">
        <v>677</v>
      </c>
      <c r="B2" s="48" t="s">
        <v>783</v>
      </c>
      <c r="C2" s="76"/>
    </row>
    <row r="3" spans="1:3">
      <c r="A3" s="51" t="s">
        <v>830</v>
      </c>
      <c r="B3" s="48">
        <v>1</v>
      </c>
      <c r="C3" s="76"/>
    </row>
    <row r="4" spans="1:3">
      <c r="A4" s="62" t="s">
        <v>769</v>
      </c>
      <c r="B4" s="63">
        <v>1</v>
      </c>
      <c r="C4" s="76"/>
    </row>
    <row r="5" spans="1:3">
      <c r="A5" s="62" t="s">
        <v>683</v>
      </c>
      <c r="B5" s="63" t="s">
        <v>829</v>
      </c>
      <c r="C5" s="76"/>
    </row>
    <row r="6" spans="1:3">
      <c r="A6" s="62" t="s">
        <v>770</v>
      </c>
      <c r="B6" s="63">
        <v>0</v>
      </c>
      <c r="C6" s="76"/>
    </row>
    <row r="7" spans="1:3">
      <c r="A7" s="62" t="s">
        <v>692</v>
      </c>
      <c r="B7" s="80" t="s">
        <v>29</v>
      </c>
      <c r="C7" s="76"/>
    </row>
    <row r="8" spans="1:3">
      <c r="A8" s="62" t="s">
        <v>771</v>
      </c>
      <c r="B8" s="81" t="s">
        <v>34</v>
      </c>
      <c r="C8" s="76"/>
    </row>
    <row r="9" spans="1:3">
      <c r="A9" s="62" t="s">
        <v>772</v>
      </c>
      <c r="B9" s="80">
        <v>731</v>
      </c>
      <c r="C9" s="76"/>
    </row>
    <row r="10" spans="1:3">
      <c r="A10" s="62" t="s">
        <v>773</v>
      </c>
      <c r="B10" s="80">
        <v>0.7</v>
      </c>
      <c r="C10" s="76" t="s">
        <v>774</v>
      </c>
    </row>
    <row r="11" spans="1:3">
      <c r="A11" s="62" t="s">
        <v>775</v>
      </c>
      <c r="B11" s="80" t="s">
        <v>19</v>
      </c>
      <c r="C11" s="76"/>
    </row>
    <row r="12" spans="1:3">
      <c r="A12" s="59" t="s">
        <v>776</v>
      </c>
      <c r="B12" s="50" t="s">
        <v>25</v>
      </c>
      <c r="C12" s="76"/>
    </row>
    <row r="13" spans="1:3">
      <c r="A13" s="62" t="s">
        <v>828</v>
      </c>
      <c r="B13" s="81" t="s">
        <v>693</v>
      </c>
      <c r="C13" s="76"/>
    </row>
    <row r="14" spans="1:3">
      <c r="A14" s="62" t="s">
        <v>777</v>
      </c>
      <c r="B14" s="49"/>
      <c r="C14" s="76" t="s">
        <v>29</v>
      </c>
    </row>
  </sheetData>
  <mergeCells count="1">
    <mergeCell ref="A1:B1"/>
  </mergeCells>
  <hyperlinks>
    <hyperlink ref="B8" location="IRCAD!A1" display="IRCAD" xr:uid="{7306429F-3341-9841-9852-9FF7895BE3AF}"/>
    <hyperlink ref="B12" location="IRUSD!A1" display="IRUSD" xr:uid="{B1EC2C41-703B-A842-9ED2-A50BADC51237}"/>
    <hyperlink ref="B13" location="SpotFX!A1" display="SpotFX" xr:uid="{23503F5B-E44F-8941-AE46-4B9DFABD97F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28.1796875" bestFit="1" customWidth="1"/>
    <col min="2" max="2" width="16" bestFit="1" customWidth="1"/>
  </cols>
  <sheetData>
    <row r="1" spans="1:3" ht="22.5">
      <c r="A1" s="150" t="s">
        <v>778</v>
      </c>
      <c r="B1" s="150"/>
      <c r="C1" s="52"/>
    </row>
    <row r="2" spans="1:3">
      <c r="A2" s="58" t="s">
        <v>677</v>
      </c>
      <c r="B2" s="53" t="s">
        <v>784</v>
      </c>
      <c r="C2" s="52"/>
    </row>
    <row r="3" spans="1:3" s="36" customFormat="1">
      <c r="A3" s="62" t="s">
        <v>830</v>
      </c>
      <c r="B3" s="71">
        <v>1</v>
      </c>
      <c r="C3" s="76"/>
    </row>
    <row r="4" spans="1:3">
      <c r="A4" s="58" t="s">
        <v>769</v>
      </c>
      <c r="B4" s="60">
        <v>1</v>
      </c>
      <c r="C4" s="52"/>
    </row>
    <row r="5" spans="1:3">
      <c r="A5" s="58" t="s">
        <v>683</v>
      </c>
      <c r="B5" s="60" t="s">
        <v>829</v>
      </c>
      <c r="C5" s="52"/>
    </row>
    <row r="6" spans="1:3">
      <c r="A6" s="58" t="s">
        <v>770</v>
      </c>
      <c r="B6" s="60">
        <v>0</v>
      </c>
      <c r="C6" s="52"/>
    </row>
    <row r="7" spans="1:3">
      <c r="A7" s="58" t="s">
        <v>692</v>
      </c>
      <c r="B7" s="54" t="s">
        <v>51</v>
      </c>
      <c r="C7" s="52"/>
    </row>
    <row r="8" spans="1:3">
      <c r="A8" s="58" t="s">
        <v>771</v>
      </c>
      <c r="B8" s="55" t="s">
        <v>56</v>
      </c>
      <c r="C8" s="52"/>
    </row>
    <row r="9" spans="1:3">
      <c r="A9" s="58" t="s">
        <v>772</v>
      </c>
      <c r="B9" s="54">
        <v>365</v>
      </c>
      <c r="C9" s="52" t="s">
        <v>779</v>
      </c>
    </row>
    <row r="10" spans="1:3">
      <c r="A10" s="58" t="s">
        <v>773</v>
      </c>
      <c r="B10" s="54">
        <v>1</v>
      </c>
      <c r="C10" s="52" t="s">
        <v>780</v>
      </c>
    </row>
    <row r="11" spans="1:3">
      <c r="A11" s="58" t="s">
        <v>775</v>
      </c>
      <c r="B11" s="54" t="s">
        <v>29</v>
      </c>
      <c r="C11" s="52"/>
    </row>
    <row r="12" spans="1:3">
      <c r="A12" s="59" t="s">
        <v>776</v>
      </c>
      <c r="B12" s="57" t="s">
        <v>34</v>
      </c>
      <c r="C12" s="52"/>
    </row>
    <row r="13" spans="1:3" s="36" customFormat="1">
      <c r="A13" s="62" t="s">
        <v>828</v>
      </c>
      <c r="B13" s="81" t="s">
        <v>693</v>
      </c>
      <c r="C13" s="76"/>
    </row>
    <row r="14" spans="1:3">
      <c r="A14" s="58" t="s">
        <v>777</v>
      </c>
      <c r="B14" s="56"/>
      <c r="C14" s="52" t="s">
        <v>51</v>
      </c>
    </row>
  </sheetData>
  <mergeCells count="1">
    <mergeCell ref="A1:B1"/>
  </mergeCells>
  <hyperlinks>
    <hyperlink ref="B8" location="IREUR!A1" display="IREUR" xr:uid="{00000000-0004-0000-0700-000000000000}"/>
    <hyperlink ref="B12" location="IRCAD!A1" display="IRCAD" xr:uid="{00000000-0004-0000-0700-000001000000}"/>
    <hyperlink ref="B13" location="SpotFX!A1" display="SpotFX" xr:uid="{5365FBC5-B240-B04F-BB67-8526C5D081A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F0BCE-5F29-E04D-885C-4CEEB933FFDF}">
  <sheetPr codeName="Sheet30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28.1796875" style="36" bestFit="1" customWidth="1"/>
    <col min="2" max="2" width="16" style="36" bestFit="1" customWidth="1"/>
    <col min="3" max="16384" width="8.81640625" style="36"/>
  </cols>
  <sheetData>
    <row r="1" spans="1:3" ht="22.5">
      <c r="A1" s="150" t="s">
        <v>832</v>
      </c>
      <c r="B1" s="150"/>
      <c r="C1" s="76"/>
    </row>
    <row r="2" spans="1:3">
      <c r="A2" s="62" t="s">
        <v>677</v>
      </c>
      <c r="B2" s="71" t="s">
        <v>785</v>
      </c>
      <c r="C2" s="76"/>
    </row>
    <row r="3" spans="1:3">
      <c r="A3" s="62" t="s">
        <v>830</v>
      </c>
      <c r="B3" s="71">
        <v>1</v>
      </c>
      <c r="C3" s="76"/>
    </row>
    <row r="4" spans="1:3">
      <c r="A4" s="62" t="s">
        <v>769</v>
      </c>
      <c r="B4" s="63">
        <v>1</v>
      </c>
      <c r="C4" s="76"/>
    </row>
    <row r="5" spans="1:3">
      <c r="A5" s="62" t="s">
        <v>683</v>
      </c>
      <c r="B5" s="63" t="s">
        <v>829</v>
      </c>
      <c r="C5" s="76"/>
    </row>
    <row r="6" spans="1:3">
      <c r="A6" s="62" t="s">
        <v>770</v>
      </c>
      <c r="B6" s="63">
        <v>0</v>
      </c>
      <c r="C6" s="76"/>
    </row>
    <row r="7" spans="1:3">
      <c r="A7" s="62" t="s">
        <v>692</v>
      </c>
      <c r="B7" s="80" t="s">
        <v>19</v>
      </c>
      <c r="C7" s="76"/>
    </row>
    <row r="8" spans="1:3">
      <c r="A8" s="62" t="s">
        <v>771</v>
      </c>
      <c r="B8" s="81" t="s">
        <v>25</v>
      </c>
      <c r="C8" s="76"/>
    </row>
    <row r="9" spans="1:3">
      <c r="A9" s="62" t="s">
        <v>772</v>
      </c>
      <c r="B9" s="80">
        <v>183</v>
      </c>
      <c r="C9" s="76" t="s">
        <v>779</v>
      </c>
    </row>
    <row r="10" spans="1:3">
      <c r="A10" s="62" t="s">
        <v>773</v>
      </c>
      <c r="B10" s="80">
        <v>0.6</v>
      </c>
      <c r="C10" s="76" t="s">
        <v>780</v>
      </c>
    </row>
    <row r="11" spans="1:3">
      <c r="A11" s="62" t="s">
        <v>775</v>
      </c>
      <c r="B11" s="80" t="s">
        <v>51</v>
      </c>
      <c r="C11" s="76"/>
    </row>
    <row r="12" spans="1:3">
      <c r="A12" s="59" t="s">
        <v>776</v>
      </c>
      <c r="B12" s="57" t="s">
        <v>56</v>
      </c>
      <c r="C12" s="76"/>
    </row>
    <row r="13" spans="1:3">
      <c r="A13" s="62" t="s">
        <v>828</v>
      </c>
      <c r="B13" s="81" t="s">
        <v>693</v>
      </c>
      <c r="C13" s="76"/>
    </row>
    <row r="14" spans="1:3">
      <c r="A14" s="62" t="s">
        <v>777</v>
      </c>
      <c r="B14" s="61"/>
      <c r="C14" s="76" t="s">
        <v>19</v>
      </c>
    </row>
  </sheetData>
  <mergeCells count="1">
    <mergeCell ref="A1:B1"/>
  </mergeCells>
  <hyperlinks>
    <hyperlink ref="B8" location="IREUR!A1" display="IREUR" xr:uid="{E9286D99-70E8-4C43-8183-887E0E1A73E9}"/>
    <hyperlink ref="B12" location="IRCAD!A1" display="IRCAD" xr:uid="{C85C10D2-BBB8-D546-8D85-C00EE5A65EBD}"/>
    <hyperlink ref="B13" location="SpotFX!A1" display="SpotFX" xr:uid="{A920E9A8-6559-1341-B709-E445A3D2041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775E-4F65-7347-B7F0-DD39700D3490}">
  <sheetPr codeName="Sheet24"/>
  <dimension ref="A1:B11"/>
  <sheetViews>
    <sheetView workbookViewId="0">
      <selection activeCell="B16" sqref="B16"/>
    </sheetView>
  </sheetViews>
  <sheetFormatPr defaultColWidth="10.90625" defaultRowHeight="14.5"/>
  <cols>
    <col min="2" max="2" width="19.6328125" customWidth="1"/>
  </cols>
  <sheetData>
    <row r="1" spans="1:2">
      <c r="A1" s="151" t="s">
        <v>786</v>
      </c>
      <c r="B1" s="151"/>
    </row>
    <row r="2" spans="1:2">
      <c r="A2" s="151"/>
      <c r="B2" s="151"/>
    </row>
    <row r="3" spans="1:2">
      <c r="A3" s="78" t="s">
        <v>677</v>
      </c>
      <c r="B3" s="80" t="s">
        <v>821</v>
      </c>
    </row>
    <row r="4" spans="1:2">
      <c r="A4" s="78" t="s">
        <v>788</v>
      </c>
      <c r="B4" s="80">
        <v>1</v>
      </c>
    </row>
    <row r="5" spans="1:2">
      <c r="A5" s="78" t="s">
        <v>683</v>
      </c>
      <c r="B5" s="80" t="s">
        <v>786</v>
      </c>
    </row>
    <row r="6" spans="1:2">
      <c r="A6" s="78" t="s">
        <v>692</v>
      </c>
      <c r="B6" s="80" t="s">
        <v>19</v>
      </c>
    </row>
    <row r="7" spans="1:2">
      <c r="A7" s="78" t="s">
        <v>789</v>
      </c>
      <c r="B7" s="80">
        <f>SubVCV3!J2</f>
        <v>1.24</v>
      </c>
    </row>
    <row r="8" spans="1:2">
      <c r="A8" s="78" t="s">
        <v>771</v>
      </c>
      <c r="B8" s="81" t="s">
        <v>25</v>
      </c>
    </row>
    <row r="9" spans="1:2">
      <c r="A9" s="78" t="s">
        <v>790</v>
      </c>
      <c r="B9" s="80"/>
    </row>
    <row r="10" spans="1:2">
      <c r="A10" s="78" t="s">
        <v>798</v>
      </c>
      <c r="B10" s="80"/>
    </row>
    <row r="11" spans="1:2">
      <c r="A11" s="79" t="s">
        <v>791</v>
      </c>
      <c r="B11" s="75" t="s">
        <v>853</v>
      </c>
    </row>
  </sheetData>
  <mergeCells count="1">
    <mergeCell ref="A1:B2"/>
  </mergeCells>
  <hyperlinks>
    <hyperlink ref="B8" location="IRUSD!A1" display="IRUSD" xr:uid="{6B4E7360-A77B-014F-8506-3327BF8C5666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D11"/>
  <sheetViews>
    <sheetView workbookViewId="0">
      <selection activeCell="F34" sqref="F34"/>
    </sheetView>
  </sheetViews>
  <sheetFormatPr defaultColWidth="8.81640625" defaultRowHeight="14.5"/>
  <cols>
    <col min="1" max="1" width="16.81640625" style="36" customWidth="1"/>
    <col min="2" max="2" width="17" style="36" customWidth="1"/>
    <col min="3" max="3" width="7.36328125" style="36" customWidth="1"/>
    <col min="4" max="16384" width="8.81640625" style="36"/>
  </cols>
  <sheetData>
    <row r="1" spans="1:4">
      <c r="A1" s="151" t="s">
        <v>786</v>
      </c>
      <c r="B1" s="151"/>
      <c r="C1" s="76"/>
    </row>
    <row r="2" spans="1:4">
      <c r="A2" s="151"/>
      <c r="B2" s="151"/>
      <c r="C2" s="76"/>
    </row>
    <row r="3" spans="1:4">
      <c r="A3" s="78" t="s">
        <v>677</v>
      </c>
      <c r="B3" s="80" t="s">
        <v>820</v>
      </c>
      <c r="C3" s="76"/>
    </row>
    <row r="4" spans="1:4">
      <c r="A4" s="78" t="s">
        <v>788</v>
      </c>
      <c r="B4" s="80">
        <v>1</v>
      </c>
      <c r="C4" s="76"/>
    </row>
    <row r="5" spans="1:4">
      <c r="A5" s="78" t="s">
        <v>683</v>
      </c>
      <c r="B5" s="80" t="s">
        <v>786</v>
      </c>
      <c r="C5" s="76"/>
    </row>
    <row r="6" spans="1:4">
      <c r="A6" s="78" t="s">
        <v>692</v>
      </c>
      <c r="B6" s="80" t="s">
        <v>19</v>
      </c>
      <c r="C6" s="76"/>
    </row>
    <row r="7" spans="1:4">
      <c r="A7" s="78" t="s">
        <v>789</v>
      </c>
      <c r="B7" s="80">
        <v>220</v>
      </c>
      <c r="C7" s="76"/>
    </row>
    <row r="8" spans="1:4">
      <c r="A8" s="78" t="s">
        <v>771</v>
      </c>
      <c r="B8" s="81" t="s">
        <v>25</v>
      </c>
      <c r="C8" s="77"/>
      <c r="D8" s="38"/>
    </row>
    <row r="9" spans="1:4">
      <c r="A9" s="78" t="s">
        <v>790</v>
      </c>
      <c r="B9" s="80">
        <v>0.6</v>
      </c>
      <c r="C9" s="77"/>
      <c r="D9" s="38"/>
    </row>
    <row r="10" spans="1:4">
      <c r="A10" s="78" t="s">
        <v>798</v>
      </c>
      <c r="B10" s="80" t="s">
        <v>721</v>
      </c>
      <c r="C10" s="82"/>
      <c r="D10" s="38"/>
    </row>
    <row r="11" spans="1:4">
      <c r="A11" s="79" t="s">
        <v>791</v>
      </c>
      <c r="B11" s="75" t="s">
        <v>797</v>
      </c>
      <c r="C11" s="38"/>
      <c r="D11" s="38"/>
    </row>
  </sheetData>
  <mergeCells count="1">
    <mergeCell ref="A1:B2"/>
  </mergeCells>
  <hyperlinks>
    <hyperlink ref="B8" location="IRUSD!A1" display="IRUSD" xr:uid="{00000000-0004-0000-09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C11"/>
  <sheetViews>
    <sheetView workbookViewId="0">
      <selection activeCell="B8" sqref="B8"/>
    </sheetView>
  </sheetViews>
  <sheetFormatPr defaultColWidth="8.81640625" defaultRowHeight="14.5"/>
  <cols>
    <col min="1" max="1" width="14.6328125" bestFit="1" customWidth="1"/>
    <col min="2" max="2" width="13.453125" bestFit="1" customWidth="1"/>
    <col min="3" max="3" width="12" customWidth="1"/>
  </cols>
  <sheetData>
    <row r="1" spans="1:3">
      <c r="A1" s="151" t="s">
        <v>786</v>
      </c>
      <c r="B1" s="151"/>
      <c r="C1" s="70"/>
    </row>
    <row r="2" spans="1:3">
      <c r="A2" s="151"/>
      <c r="B2" s="151"/>
      <c r="C2" s="70"/>
    </row>
    <row r="3" spans="1:3">
      <c r="A3" s="72" t="s">
        <v>677</v>
      </c>
      <c r="B3" s="73" t="s">
        <v>787</v>
      </c>
      <c r="C3" s="70"/>
    </row>
    <row r="4" spans="1:3">
      <c r="A4" s="72" t="s">
        <v>788</v>
      </c>
      <c r="B4" s="73">
        <v>1</v>
      </c>
      <c r="C4" s="70"/>
    </row>
    <row r="5" spans="1:3">
      <c r="A5" s="72" t="s">
        <v>683</v>
      </c>
      <c r="B5" s="73" t="s">
        <v>786</v>
      </c>
      <c r="C5" s="70"/>
    </row>
    <row r="6" spans="1:3">
      <c r="A6" s="72" t="s">
        <v>692</v>
      </c>
      <c r="B6" s="73" t="s">
        <v>19</v>
      </c>
      <c r="C6" s="70"/>
    </row>
    <row r="7" spans="1:3">
      <c r="A7" s="72" t="s">
        <v>789</v>
      </c>
      <c r="B7" s="73">
        <v>23</v>
      </c>
      <c r="C7" s="70"/>
    </row>
    <row r="8" spans="1:3">
      <c r="A8" s="72" t="s">
        <v>771</v>
      </c>
      <c r="B8" s="74" t="s">
        <v>25</v>
      </c>
      <c r="C8" s="70"/>
    </row>
    <row r="9" spans="1:3">
      <c r="A9" s="72" t="s">
        <v>790</v>
      </c>
      <c r="B9" s="73">
        <v>2.79</v>
      </c>
      <c r="C9" s="71">
        <v>10.75</v>
      </c>
    </row>
    <row r="10" spans="1:3">
      <c r="A10" s="78" t="s">
        <v>798</v>
      </c>
      <c r="B10" s="80" t="s">
        <v>804</v>
      </c>
      <c r="C10" s="80" t="s">
        <v>805</v>
      </c>
    </row>
    <row r="11" spans="1:3">
      <c r="A11" s="79" t="s">
        <v>791</v>
      </c>
      <c r="B11" s="75" t="s">
        <v>792</v>
      </c>
    </row>
  </sheetData>
  <mergeCells count="1">
    <mergeCell ref="A1:B2"/>
  </mergeCells>
  <hyperlinks>
    <hyperlink ref="B8" location="IRUSD!A1" display="IRUSD" xr:uid="{00000000-0004-0000-0A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35B8-D54A-3F46-8A9D-CEC3B86F0617}">
  <sheetPr codeName="Sheet27"/>
  <dimension ref="A1:C11"/>
  <sheetViews>
    <sheetView workbookViewId="0">
      <selection activeCell="O31" sqref="O31"/>
    </sheetView>
  </sheetViews>
  <sheetFormatPr defaultColWidth="8.81640625" defaultRowHeight="14.5"/>
  <cols>
    <col min="1" max="1" width="14.6328125" style="36" bestFit="1" customWidth="1"/>
    <col min="2" max="2" width="13.453125" style="36" bestFit="1" customWidth="1"/>
    <col min="3" max="16384" width="8.81640625" style="36"/>
  </cols>
  <sheetData>
    <row r="1" spans="1:3">
      <c r="A1" s="152" t="s">
        <v>793</v>
      </c>
      <c r="B1" s="152"/>
      <c r="C1" s="76"/>
    </row>
    <row r="2" spans="1:3">
      <c r="A2" s="152"/>
      <c r="B2" s="152"/>
      <c r="C2" s="76"/>
    </row>
    <row r="3" spans="1:3">
      <c r="A3" s="78" t="s">
        <v>677</v>
      </c>
      <c r="B3" s="80" t="s">
        <v>826</v>
      </c>
      <c r="C3" s="76"/>
    </row>
    <row r="4" spans="1:3">
      <c r="A4" s="78" t="s">
        <v>769</v>
      </c>
      <c r="B4" s="80">
        <v>100</v>
      </c>
      <c r="C4" s="76"/>
    </row>
    <row r="5" spans="1:3">
      <c r="A5" s="78" t="s">
        <v>683</v>
      </c>
      <c r="B5" s="80" t="s">
        <v>793</v>
      </c>
      <c r="C5" s="76"/>
    </row>
    <row r="6" spans="1:3">
      <c r="A6" s="78" t="s">
        <v>770</v>
      </c>
      <c r="B6" s="80">
        <v>0</v>
      </c>
      <c r="C6" s="76" t="s">
        <v>795</v>
      </c>
    </row>
    <row r="7" spans="1:3">
      <c r="A7" s="78" t="s">
        <v>692</v>
      </c>
      <c r="B7" s="80" t="s">
        <v>29</v>
      </c>
      <c r="C7" s="76"/>
    </row>
    <row r="8" spans="1:3">
      <c r="A8" s="78" t="s">
        <v>772</v>
      </c>
      <c r="B8" s="80">
        <v>365</v>
      </c>
      <c r="C8" s="76" t="s">
        <v>779</v>
      </c>
    </row>
    <row r="9" spans="1:3">
      <c r="A9" s="78" t="s">
        <v>771</v>
      </c>
      <c r="B9" s="81" t="s">
        <v>34</v>
      </c>
      <c r="C9" s="76"/>
    </row>
    <row r="10" spans="1:3">
      <c r="A10" s="78" t="s">
        <v>796</v>
      </c>
      <c r="B10" s="81" t="s">
        <v>821</v>
      </c>
      <c r="C10" s="76"/>
    </row>
    <row r="11" spans="1:3">
      <c r="A11" s="78" t="s">
        <v>773</v>
      </c>
      <c r="B11" s="80">
        <v>1.5</v>
      </c>
      <c r="C11" s="76"/>
    </row>
  </sheetData>
  <mergeCells count="1">
    <mergeCell ref="A1:B2"/>
  </mergeCells>
  <hyperlinks>
    <hyperlink ref="B9" location="IRCAD!A1" display="IRCAD" xr:uid="{6AA2CF53-9D06-E144-BACD-0103302B1997}"/>
    <hyperlink ref="B10" location="'Stock RNN'!A1" display="RNN" xr:uid="{19587BFE-BE79-6440-B02F-17AA794F03F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C4A1F-EF8A-D34B-A0D7-28AAD46C5191}">
  <sheetPr codeName="Sheet26"/>
  <dimension ref="A1:C11"/>
  <sheetViews>
    <sheetView workbookViewId="0">
      <selection sqref="A1:XFD1048576"/>
    </sheetView>
  </sheetViews>
  <sheetFormatPr defaultColWidth="8.81640625" defaultRowHeight="14.5"/>
  <cols>
    <col min="1" max="1" width="14.6328125" style="36" bestFit="1" customWidth="1"/>
    <col min="2" max="2" width="13.453125" style="36" bestFit="1" customWidth="1"/>
    <col min="3" max="16384" width="8.81640625" style="36"/>
  </cols>
  <sheetData>
    <row r="1" spans="1:3">
      <c r="A1" s="152" t="s">
        <v>793</v>
      </c>
      <c r="B1" s="152"/>
      <c r="C1" s="76"/>
    </row>
    <row r="2" spans="1:3">
      <c r="A2" s="152"/>
      <c r="B2" s="152"/>
      <c r="C2" s="76"/>
    </row>
    <row r="3" spans="1:3">
      <c r="A3" s="78" t="s">
        <v>677</v>
      </c>
      <c r="B3" s="80" t="s">
        <v>825</v>
      </c>
      <c r="C3" s="76"/>
    </row>
    <row r="4" spans="1:3">
      <c r="A4" s="78" t="s">
        <v>769</v>
      </c>
      <c r="B4" s="80">
        <v>100</v>
      </c>
      <c r="C4" s="76"/>
    </row>
    <row r="5" spans="1:3">
      <c r="A5" s="78" t="s">
        <v>683</v>
      </c>
      <c r="B5" s="80" t="s">
        <v>793</v>
      </c>
      <c r="C5" s="76"/>
    </row>
    <row r="6" spans="1:3">
      <c r="A6" s="78" t="s">
        <v>770</v>
      </c>
      <c r="B6" s="80">
        <v>0</v>
      </c>
      <c r="C6" s="76" t="s">
        <v>795</v>
      </c>
    </row>
    <row r="7" spans="1:3">
      <c r="A7" s="78" t="s">
        <v>692</v>
      </c>
      <c r="B7" s="80" t="s">
        <v>19</v>
      </c>
      <c r="C7" s="76"/>
    </row>
    <row r="8" spans="1:3">
      <c r="A8" s="78" t="s">
        <v>772</v>
      </c>
      <c r="B8" s="80">
        <v>182</v>
      </c>
      <c r="C8" s="76" t="s">
        <v>779</v>
      </c>
    </row>
    <row r="9" spans="1:3">
      <c r="A9" s="78" t="s">
        <v>771</v>
      </c>
      <c r="B9" s="81" t="s">
        <v>25</v>
      </c>
      <c r="C9" s="76"/>
    </row>
    <row r="10" spans="1:3">
      <c r="A10" s="78" t="s">
        <v>796</v>
      </c>
      <c r="B10" s="81" t="s">
        <v>820</v>
      </c>
      <c r="C10" s="76"/>
    </row>
    <row r="11" spans="1:3">
      <c r="A11" s="78" t="s">
        <v>773</v>
      </c>
      <c r="B11" s="80">
        <v>211</v>
      </c>
      <c r="C11" s="76"/>
    </row>
  </sheetData>
  <mergeCells count="1">
    <mergeCell ref="A1:B2"/>
  </mergeCells>
  <hyperlinks>
    <hyperlink ref="B9" location="IRUSD!A1" display="IRUSD" xr:uid="{586E6702-5B8D-C643-8A61-9305A62BECF1}"/>
    <hyperlink ref="B10" location="'Stock DJ'!A1" display="DJ" xr:uid="{DAF71CC1-78DF-5A4C-A608-B3E19AE36FC5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C11"/>
  <sheetViews>
    <sheetView workbookViewId="0">
      <selection activeCell="K31" sqref="K31"/>
    </sheetView>
  </sheetViews>
  <sheetFormatPr defaultColWidth="8.81640625" defaultRowHeight="14.5"/>
  <cols>
    <col min="1" max="1" width="14.6328125" bestFit="1" customWidth="1"/>
    <col min="2" max="2" width="13.453125" bestFit="1" customWidth="1"/>
  </cols>
  <sheetData>
    <row r="1" spans="1:3">
      <c r="A1" s="152" t="s">
        <v>793</v>
      </c>
      <c r="B1" s="152"/>
      <c r="C1" s="76"/>
    </row>
    <row r="2" spans="1:3">
      <c r="A2" s="152"/>
      <c r="B2" s="152"/>
      <c r="C2" s="76"/>
    </row>
    <row r="3" spans="1:3">
      <c r="A3" s="78" t="s">
        <v>677</v>
      </c>
      <c r="B3" s="80" t="s">
        <v>794</v>
      </c>
      <c r="C3" s="76"/>
    </row>
    <row r="4" spans="1:3" s="36" customFormat="1">
      <c r="A4" s="78" t="s">
        <v>769</v>
      </c>
      <c r="B4" s="80">
        <v>100</v>
      </c>
      <c r="C4" s="76"/>
    </row>
    <row r="5" spans="1:3">
      <c r="A5" s="78" t="s">
        <v>683</v>
      </c>
      <c r="B5" s="80" t="s">
        <v>793</v>
      </c>
      <c r="C5" s="76"/>
    </row>
    <row r="6" spans="1:3">
      <c r="A6" s="78" t="s">
        <v>770</v>
      </c>
      <c r="B6" s="80">
        <v>0</v>
      </c>
      <c r="C6" s="76" t="s">
        <v>795</v>
      </c>
    </row>
    <row r="7" spans="1:3">
      <c r="A7" s="78" t="s">
        <v>692</v>
      </c>
      <c r="B7" s="80" t="s">
        <v>19</v>
      </c>
      <c r="C7" s="76"/>
    </row>
    <row r="8" spans="1:3">
      <c r="A8" s="78" t="s">
        <v>772</v>
      </c>
      <c r="B8" s="80">
        <v>91</v>
      </c>
      <c r="C8" s="76" t="s">
        <v>779</v>
      </c>
    </row>
    <row r="9" spans="1:3">
      <c r="A9" s="78" t="s">
        <v>771</v>
      </c>
      <c r="B9" s="81" t="s">
        <v>25</v>
      </c>
      <c r="C9" s="76"/>
    </row>
    <row r="10" spans="1:3">
      <c r="A10" s="78" t="s">
        <v>796</v>
      </c>
      <c r="B10" s="81" t="s">
        <v>787</v>
      </c>
      <c r="C10" s="76"/>
    </row>
    <row r="11" spans="1:3">
      <c r="A11" s="78" t="s">
        <v>773</v>
      </c>
      <c r="B11" s="80">
        <v>23</v>
      </c>
      <c r="C11" s="76"/>
    </row>
  </sheetData>
  <mergeCells count="1">
    <mergeCell ref="A1:B2"/>
  </mergeCells>
  <hyperlinks>
    <hyperlink ref="B9" location="IRUSD!A1" display="IRUSD" xr:uid="{00000000-0004-0000-0B00-000000000000}"/>
    <hyperlink ref="B10" location="'Stock AOL'!A1" display="AOL" xr:uid="{00000000-0004-0000-0B00-000001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Q266"/>
  <sheetViews>
    <sheetView workbookViewId="0">
      <selection activeCell="O8" sqref="O8"/>
    </sheetView>
  </sheetViews>
  <sheetFormatPr defaultColWidth="8.81640625" defaultRowHeight="14.5"/>
  <cols>
    <col min="1" max="1" width="31.453125" style="8" customWidth="1"/>
    <col min="2" max="2" width="16.453125" style="8" customWidth="1"/>
    <col min="3" max="3" width="8.81640625" style="8"/>
    <col min="4" max="4" width="11.36328125" style="8" customWidth="1"/>
    <col min="5" max="5" width="6.81640625" style="8" customWidth="1"/>
    <col min="6" max="6" width="8.81640625" style="8"/>
    <col min="7" max="7" width="9.1796875" style="8" customWidth="1"/>
    <col min="8" max="8" width="11.453125" style="8" customWidth="1"/>
    <col min="9" max="9" width="10.6328125" style="8" customWidth="1"/>
    <col min="10" max="10" width="11.81640625" style="8" customWidth="1"/>
    <col min="11" max="11" width="10.36328125" style="8" bestFit="1" customWidth="1"/>
    <col min="12" max="12" width="10.453125" style="15" customWidth="1"/>
    <col min="13" max="15" width="8.81640625" style="8"/>
    <col min="16" max="16" width="12.6328125" style="8" customWidth="1"/>
    <col min="17" max="17" width="9.453125" style="8" bestFit="1" customWidth="1"/>
    <col min="18" max="16384" width="8.81640625" style="8"/>
  </cols>
  <sheetData>
    <row r="1" spans="1:17" s="4" customFormat="1" ht="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3" t="s">
        <v>11</v>
      </c>
      <c r="M1" s="3" t="s">
        <v>12</v>
      </c>
      <c r="N1" s="3" t="s">
        <v>13</v>
      </c>
      <c r="O1" s="3" t="s">
        <v>14</v>
      </c>
      <c r="P1" s="3" t="s">
        <v>668</v>
      </c>
    </row>
    <row r="2" spans="1:17">
      <c r="A2" s="1" t="s">
        <v>15</v>
      </c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5" t="s">
        <v>21</v>
      </c>
      <c r="H2" s="2" t="s">
        <v>22</v>
      </c>
      <c r="I2" s="2" t="s">
        <v>23</v>
      </c>
      <c r="J2" s="6">
        <v>1113</v>
      </c>
      <c r="K2" s="26">
        <v>42770</v>
      </c>
      <c r="L2" s="14"/>
      <c r="M2" s="2" t="s">
        <v>24</v>
      </c>
      <c r="N2" s="2" t="s">
        <v>25</v>
      </c>
      <c r="O2" s="1"/>
      <c r="P2" s="7">
        <v>0.03</v>
      </c>
      <c r="Q2" s="85">
        <f ca="1">TODAY() -1</f>
        <v>44000</v>
      </c>
    </row>
    <row r="3" spans="1:17">
      <c r="A3" s="1" t="s">
        <v>26</v>
      </c>
      <c r="B3" s="2" t="s">
        <v>16</v>
      </c>
      <c r="C3" s="2" t="s">
        <v>27</v>
      </c>
      <c r="D3" s="2" t="s">
        <v>28</v>
      </c>
      <c r="E3" s="2" t="s">
        <v>29</v>
      </c>
      <c r="F3" s="2" t="s">
        <v>30</v>
      </c>
      <c r="G3" s="9" t="s">
        <v>31</v>
      </c>
      <c r="H3" s="2" t="s">
        <v>32</v>
      </c>
      <c r="I3" s="2" t="s">
        <v>33</v>
      </c>
      <c r="J3" s="6">
        <v>1583</v>
      </c>
      <c r="K3" s="26">
        <v>43240</v>
      </c>
      <c r="L3" s="14"/>
      <c r="M3" s="2" t="s">
        <v>24</v>
      </c>
      <c r="N3" s="2" t="s">
        <v>34</v>
      </c>
      <c r="O3" s="2">
        <v>1E-3</v>
      </c>
      <c r="P3" s="7">
        <v>0.05</v>
      </c>
    </row>
    <row r="4" spans="1:17">
      <c r="A4" s="1" t="s">
        <v>35</v>
      </c>
      <c r="B4" s="2" t="s">
        <v>16</v>
      </c>
      <c r="C4" s="2" t="s">
        <v>36</v>
      </c>
      <c r="D4" s="2" t="s">
        <v>37</v>
      </c>
      <c r="E4" s="2" t="s">
        <v>19</v>
      </c>
      <c r="F4" s="2" t="s">
        <v>38</v>
      </c>
      <c r="G4" s="2" t="s">
        <v>39</v>
      </c>
      <c r="H4" s="2" t="s">
        <v>22</v>
      </c>
      <c r="I4" s="2" t="s">
        <v>40</v>
      </c>
      <c r="J4" s="6">
        <v>1790</v>
      </c>
      <c r="K4" s="26">
        <v>43447</v>
      </c>
      <c r="L4" s="14"/>
      <c r="M4" s="2" t="s">
        <v>41</v>
      </c>
      <c r="N4" s="2" t="s">
        <v>25</v>
      </c>
      <c r="O4" s="1"/>
      <c r="P4" s="7"/>
    </row>
    <row r="5" spans="1:17">
      <c r="A5" s="1" t="s">
        <v>35</v>
      </c>
      <c r="B5" s="2" t="s">
        <v>16</v>
      </c>
      <c r="C5" s="2" t="s">
        <v>36</v>
      </c>
      <c r="D5" s="2" t="s">
        <v>37</v>
      </c>
      <c r="E5" s="2" t="s">
        <v>19</v>
      </c>
      <c r="F5" s="2" t="s">
        <v>42</v>
      </c>
      <c r="G5" s="2" t="s">
        <v>43</v>
      </c>
      <c r="H5" s="2" t="s">
        <v>22</v>
      </c>
      <c r="I5" s="2" t="s">
        <v>40</v>
      </c>
      <c r="J5" s="6">
        <v>1060</v>
      </c>
      <c r="K5" s="26">
        <v>42717</v>
      </c>
      <c r="L5" s="14"/>
      <c r="M5" s="2" t="s">
        <v>44</v>
      </c>
      <c r="N5" s="2" t="s">
        <v>25</v>
      </c>
      <c r="O5" s="1"/>
      <c r="P5" s="7"/>
    </row>
    <row r="6" spans="1:17">
      <c r="A6" s="1" t="s">
        <v>45</v>
      </c>
      <c r="B6" s="2" t="s">
        <v>16</v>
      </c>
      <c r="C6" s="2" t="s">
        <v>17</v>
      </c>
      <c r="D6" s="2" t="s">
        <v>37</v>
      </c>
      <c r="E6" s="2" t="s">
        <v>19</v>
      </c>
      <c r="F6" s="2" t="s">
        <v>46</v>
      </c>
      <c r="G6" s="2" t="s">
        <v>47</v>
      </c>
      <c r="H6" s="2" t="s">
        <v>22</v>
      </c>
      <c r="I6" s="2" t="s">
        <v>48</v>
      </c>
      <c r="J6" s="6">
        <v>884</v>
      </c>
      <c r="K6" s="26">
        <v>42541</v>
      </c>
      <c r="L6" s="14"/>
      <c r="M6" s="2" t="s">
        <v>49</v>
      </c>
      <c r="N6" s="2" t="s">
        <v>25</v>
      </c>
      <c r="O6" s="2">
        <v>1E-3</v>
      </c>
      <c r="P6" s="7">
        <v>0.05</v>
      </c>
    </row>
    <row r="7" spans="1:17">
      <c r="A7" s="1" t="s">
        <v>50</v>
      </c>
      <c r="B7" s="2" t="s">
        <v>16</v>
      </c>
      <c r="C7" s="2" t="s">
        <v>27</v>
      </c>
      <c r="D7" s="2" t="s">
        <v>18</v>
      </c>
      <c r="E7" s="2" t="s">
        <v>51</v>
      </c>
      <c r="F7" s="2" t="s">
        <v>52</v>
      </c>
      <c r="G7" s="2" t="s">
        <v>53</v>
      </c>
      <c r="H7" s="2" t="s">
        <v>54</v>
      </c>
      <c r="I7" s="2" t="s">
        <v>55</v>
      </c>
      <c r="J7" s="6">
        <v>4760</v>
      </c>
      <c r="K7" s="26">
        <v>46417</v>
      </c>
      <c r="L7" s="14"/>
      <c r="M7" s="2" t="s">
        <v>49</v>
      </c>
      <c r="N7" s="2" t="s">
        <v>56</v>
      </c>
      <c r="O7" s="2">
        <v>1E-3</v>
      </c>
      <c r="P7" s="7">
        <v>0.05</v>
      </c>
    </row>
    <row r="8" spans="1:17">
      <c r="A8" s="1" t="s">
        <v>50</v>
      </c>
      <c r="B8" s="2" t="s">
        <v>16</v>
      </c>
      <c r="C8" s="2" t="s">
        <v>27</v>
      </c>
      <c r="D8" s="2" t="s">
        <v>18</v>
      </c>
      <c r="E8" s="2" t="s">
        <v>51</v>
      </c>
      <c r="F8" s="2" t="s">
        <v>57</v>
      </c>
      <c r="G8" s="2" t="s">
        <v>58</v>
      </c>
      <c r="H8" s="2" t="s">
        <v>54</v>
      </c>
      <c r="I8" s="2" t="s">
        <v>55</v>
      </c>
      <c r="J8" s="6">
        <v>4760</v>
      </c>
      <c r="K8" s="26">
        <v>46417</v>
      </c>
      <c r="L8" s="14"/>
      <c r="M8" s="2" t="s">
        <v>44</v>
      </c>
      <c r="N8" s="2" t="s">
        <v>56</v>
      </c>
      <c r="O8" s="2">
        <v>1E-3</v>
      </c>
      <c r="P8" s="7">
        <v>0.05</v>
      </c>
    </row>
    <row r="9" spans="1:17">
      <c r="A9" s="1" t="s">
        <v>50</v>
      </c>
      <c r="B9" s="2" t="s">
        <v>16</v>
      </c>
      <c r="C9" s="2" t="s">
        <v>27</v>
      </c>
      <c r="D9" s="2" t="s">
        <v>18</v>
      </c>
      <c r="E9" s="2" t="s">
        <v>51</v>
      </c>
      <c r="F9" s="2" t="s">
        <v>59</v>
      </c>
      <c r="G9" s="2" t="s">
        <v>60</v>
      </c>
      <c r="H9" s="2" t="s">
        <v>54</v>
      </c>
      <c r="I9" s="2" t="s">
        <v>55</v>
      </c>
      <c r="J9" s="6">
        <v>3665</v>
      </c>
      <c r="K9" s="26">
        <v>45322</v>
      </c>
      <c r="L9" s="14"/>
      <c r="M9" s="2" t="s">
        <v>49</v>
      </c>
      <c r="N9" s="2" t="s">
        <v>56</v>
      </c>
      <c r="O9" s="2">
        <v>1E-3</v>
      </c>
      <c r="P9" s="7">
        <v>0.05</v>
      </c>
    </row>
    <row r="10" spans="1:17">
      <c r="A10" s="1" t="s">
        <v>50</v>
      </c>
      <c r="B10" s="2" t="s">
        <v>16</v>
      </c>
      <c r="C10" s="2" t="s">
        <v>27</v>
      </c>
      <c r="D10" s="2" t="s">
        <v>18</v>
      </c>
      <c r="E10" s="2" t="s">
        <v>51</v>
      </c>
      <c r="F10" s="2" t="s">
        <v>61</v>
      </c>
      <c r="G10" s="2" t="s">
        <v>62</v>
      </c>
      <c r="H10" s="2" t="s">
        <v>54</v>
      </c>
      <c r="I10" s="2" t="s">
        <v>55</v>
      </c>
      <c r="J10" s="6">
        <v>2569</v>
      </c>
      <c r="K10" s="26">
        <v>44226</v>
      </c>
      <c r="L10" s="14"/>
      <c r="M10" s="2" t="s">
        <v>24</v>
      </c>
      <c r="N10" s="2" t="s">
        <v>56</v>
      </c>
      <c r="O10" s="2">
        <v>1E-3</v>
      </c>
      <c r="P10" s="7">
        <v>0.05</v>
      </c>
    </row>
    <row r="11" spans="1:17" ht="26">
      <c r="A11" s="1" t="s">
        <v>63</v>
      </c>
      <c r="B11" s="2" t="s">
        <v>64</v>
      </c>
      <c r="C11" s="2" t="s">
        <v>65</v>
      </c>
      <c r="D11" s="2" t="s">
        <v>37</v>
      </c>
      <c r="E11" s="2" t="s">
        <v>51</v>
      </c>
      <c r="F11" s="2" t="s">
        <v>66</v>
      </c>
      <c r="G11" s="2" t="s">
        <v>67</v>
      </c>
      <c r="H11" s="2" t="s">
        <v>68</v>
      </c>
      <c r="I11" s="2" t="s">
        <v>69</v>
      </c>
      <c r="J11" s="6">
        <v>334</v>
      </c>
      <c r="K11" s="26">
        <v>41991</v>
      </c>
      <c r="L11" s="14" t="s">
        <v>70</v>
      </c>
      <c r="M11" s="2" t="s">
        <v>24</v>
      </c>
      <c r="N11" s="2" t="s">
        <v>56</v>
      </c>
      <c r="O11" s="1"/>
      <c r="P11" s="7"/>
    </row>
    <row r="12" spans="1:17">
      <c r="A12" s="1" t="s">
        <v>71</v>
      </c>
      <c r="B12" s="2" t="s">
        <v>16</v>
      </c>
      <c r="C12" s="2" t="s">
        <v>27</v>
      </c>
      <c r="D12" s="2" t="s">
        <v>72</v>
      </c>
      <c r="E12" s="2" t="s">
        <v>19</v>
      </c>
      <c r="F12" s="2" t="s">
        <v>73</v>
      </c>
      <c r="G12" s="2" t="s">
        <v>74</v>
      </c>
      <c r="H12" s="2" t="s">
        <v>22</v>
      </c>
      <c r="I12" s="2" t="s">
        <v>75</v>
      </c>
      <c r="J12" s="6">
        <v>1101</v>
      </c>
      <c r="K12" s="26">
        <v>42758</v>
      </c>
      <c r="L12" s="14"/>
      <c r="M12" s="2" t="s">
        <v>41</v>
      </c>
      <c r="N12" s="2" t="s">
        <v>25</v>
      </c>
      <c r="O12" s="2">
        <v>1E-3</v>
      </c>
      <c r="P12" s="7">
        <v>0.05</v>
      </c>
    </row>
    <row r="13" spans="1:17">
      <c r="A13" s="1" t="s">
        <v>71</v>
      </c>
      <c r="B13" s="2" t="s">
        <v>16</v>
      </c>
      <c r="C13" s="2" t="s">
        <v>27</v>
      </c>
      <c r="D13" s="2" t="s">
        <v>72</v>
      </c>
      <c r="E13" s="2" t="s">
        <v>19</v>
      </c>
      <c r="F13" s="2" t="s">
        <v>76</v>
      </c>
      <c r="G13" s="2" t="s">
        <v>77</v>
      </c>
      <c r="H13" s="2" t="s">
        <v>22</v>
      </c>
      <c r="I13" s="2" t="s">
        <v>75</v>
      </c>
      <c r="J13" s="6">
        <v>1101</v>
      </c>
      <c r="K13" s="26">
        <v>42758</v>
      </c>
      <c r="L13" s="14"/>
      <c r="M13" s="2" t="s">
        <v>49</v>
      </c>
      <c r="N13" s="2" t="s">
        <v>25</v>
      </c>
      <c r="O13" s="2">
        <v>1E-3</v>
      </c>
      <c r="P13" s="7">
        <v>0.05</v>
      </c>
    </row>
    <row r="14" spans="1:17">
      <c r="A14" s="1" t="s">
        <v>78</v>
      </c>
      <c r="B14" s="2" t="s">
        <v>16</v>
      </c>
      <c r="C14" s="2" t="s">
        <v>17</v>
      </c>
      <c r="D14" s="2" t="s">
        <v>28</v>
      </c>
      <c r="E14" s="2" t="s">
        <v>19</v>
      </c>
      <c r="F14" s="2" t="s">
        <v>76</v>
      </c>
      <c r="G14" s="2" t="s">
        <v>79</v>
      </c>
      <c r="H14" s="2" t="s">
        <v>22</v>
      </c>
      <c r="I14" s="2" t="s">
        <v>80</v>
      </c>
      <c r="J14" s="6">
        <v>1461</v>
      </c>
      <c r="K14" s="26">
        <v>43118</v>
      </c>
      <c r="L14" s="14"/>
      <c r="M14" s="2" t="s">
        <v>49</v>
      </c>
      <c r="N14" s="2" t="s">
        <v>25</v>
      </c>
      <c r="O14" s="2">
        <v>1E-3</v>
      </c>
      <c r="P14" s="7">
        <v>0.05</v>
      </c>
    </row>
    <row r="15" spans="1:17">
      <c r="A15" s="1" t="s">
        <v>78</v>
      </c>
      <c r="B15" s="2" t="s">
        <v>16</v>
      </c>
      <c r="C15" s="2" t="s">
        <v>17</v>
      </c>
      <c r="D15" s="2" t="s">
        <v>28</v>
      </c>
      <c r="E15" s="2" t="s">
        <v>19</v>
      </c>
      <c r="F15" s="2" t="s">
        <v>81</v>
      </c>
      <c r="G15" s="2" t="s">
        <v>82</v>
      </c>
      <c r="H15" s="2" t="s">
        <v>22</v>
      </c>
      <c r="I15" s="2" t="s">
        <v>80</v>
      </c>
      <c r="J15" s="6">
        <v>1096</v>
      </c>
      <c r="K15" s="26">
        <v>42753</v>
      </c>
      <c r="L15" s="14"/>
      <c r="M15" s="2" t="s">
        <v>24</v>
      </c>
      <c r="N15" s="2" t="s">
        <v>25</v>
      </c>
      <c r="O15" s="2">
        <v>1E-3</v>
      </c>
      <c r="P15" s="7">
        <v>0.05</v>
      </c>
    </row>
    <row r="16" spans="1:17">
      <c r="A16" s="1" t="s">
        <v>78</v>
      </c>
      <c r="B16" s="2" t="s">
        <v>16</v>
      </c>
      <c r="C16" s="2" t="s">
        <v>17</v>
      </c>
      <c r="D16" s="2" t="s">
        <v>28</v>
      </c>
      <c r="E16" s="2" t="s">
        <v>19</v>
      </c>
      <c r="F16" s="2" t="s">
        <v>28</v>
      </c>
      <c r="G16" s="2" t="s">
        <v>83</v>
      </c>
      <c r="H16" s="2" t="s">
        <v>22</v>
      </c>
      <c r="I16" s="2" t="s">
        <v>80</v>
      </c>
      <c r="J16" s="6">
        <v>1096</v>
      </c>
      <c r="K16" s="26">
        <v>42753</v>
      </c>
      <c r="L16" s="14"/>
      <c r="M16" s="2" t="s">
        <v>41</v>
      </c>
      <c r="N16" s="2" t="s">
        <v>25</v>
      </c>
      <c r="O16" s="2">
        <v>1E-3</v>
      </c>
      <c r="P16" s="7">
        <v>0.05</v>
      </c>
    </row>
    <row r="17" spans="1:16">
      <c r="A17" s="1" t="s">
        <v>78</v>
      </c>
      <c r="B17" s="2" t="s">
        <v>16</v>
      </c>
      <c r="C17" s="2" t="s">
        <v>17</v>
      </c>
      <c r="D17" s="2" t="s">
        <v>28</v>
      </c>
      <c r="E17" s="2" t="s">
        <v>19</v>
      </c>
      <c r="F17" s="2" t="s">
        <v>84</v>
      </c>
      <c r="G17" s="2" t="s">
        <v>85</v>
      </c>
      <c r="H17" s="2" t="s">
        <v>22</v>
      </c>
      <c r="I17" s="2" t="s">
        <v>80</v>
      </c>
      <c r="J17" s="6">
        <v>1461</v>
      </c>
      <c r="K17" s="26">
        <v>43118</v>
      </c>
      <c r="L17" s="14"/>
      <c r="M17" s="2" t="s">
        <v>44</v>
      </c>
      <c r="N17" s="2" t="s">
        <v>25</v>
      </c>
      <c r="O17" s="2">
        <v>1E-3</v>
      </c>
      <c r="P17" s="7">
        <v>0.05</v>
      </c>
    </row>
    <row r="18" spans="1:16" ht="26">
      <c r="A18" s="1" t="s">
        <v>86</v>
      </c>
      <c r="B18" s="2" t="s">
        <v>64</v>
      </c>
      <c r="C18" s="2" t="s">
        <v>27</v>
      </c>
      <c r="D18" s="2" t="s">
        <v>72</v>
      </c>
      <c r="E18" s="2" t="s">
        <v>19</v>
      </c>
      <c r="F18" s="2" t="s">
        <v>87</v>
      </c>
      <c r="G18" s="2" t="s">
        <v>88</v>
      </c>
      <c r="H18" s="2" t="s">
        <v>22</v>
      </c>
      <c r="I18" s="2" t="s">
        <v>89</v>
      </c>
      <c r="J18" s="6">
        <v>1614</v>
      </c>
      <c r="K18" s="26">
        <v>43271</v>
      </c>
      <c r="L18" s="14" t="s">
        <v>70</v>
      </c>
      <c r="M18" s="2" t="s">
        <v>41</v>
      </c>
      <c r="N18" s="2" t="s">
        <v>25</v>
      </c>
      <c r="O18" s="1"/>
      <c r="P18" s="7"/>
    </row>
    <row r="19" spans="1:16" ht="26">
      <c r="A19" s="1" t="s">
        <v>86</v>
      </c>
      <c r="B19" s="2" t="s">
        <v>64</v>
      </c>
      <c r="C19" s="2" t="s">
        <v>27</v>
      </c>
      <c r="D19" s="2" t="s">
        <v>72</v>
      </c>
      <c r="E19" s="2" t="s">
        <v>19</v>
      </c>
      <c r="F19" s="2" t="s">
        <v>90</v>
      </c>
      <c r="G19" s="2" t="s">
        <v>91</v>
      </c>
      <c r="H19" s="2" t="s">
        <v>22</v>
      </c>
      <c r="I19" s="2" t="s">
        <v>89</v>
      </c>
      <c r="J19" s="6">
        <v>1979</v>
      </c>
      <c r="K19" s="26">
        <v>43636</v>
      </c>
      <c r="L19" s="14" t="s">
        <v>70</v>
      </c>
      <c r="M19" s="2" t="s">
        <v>49</v>
      </c>
      <c r="N19" s="2" t="s">
        <v>25</v>
      </c>
      <c r="O19" s="1"/>
      <c r="P19" s="7"/>
    </row>
    <row r="20" spans="1:16">
      <c r="A20" s="1" t="s">
        <v>92</v>
      </c>
      <c r="B20" s="2" t="s">
        <v>16</v>
      </c>
      <c r="C20" s="2" t="s">
        <v>93</v>
      </c>
      <c r="D20" s="2" t="s">
        <v>72</v>
      </c>
      <c r="E20" s="2" t="s">
        <v>19</v>
      </c>
      <c r="F20" s="2" t="s">
        <v>20</v>
      </c>
      <c r="G20" s="2" t="s">
        <v>94</v>
      </c>
      <c r="H20" s="2" t="s">
        <v>22</v>
      </c>
      <c r="I20" s="2" t="s">
        <v>95</v>
      </c>
      <c r="J20" s="6">
        <v>427</v>
      </c>
      <c r="K20" s="26">
        <v>42084</v>
      </c>
      <c r="L20" s="14"/>
      <c r="M20" s="2" t="s">
        <v>41</v>
      </c>
      <c r="N20" s="2" t="s">
        <v>25</v>
      </c>
      <c r="O20" s="2">
        <v>1E-3</v>
      </c>
      <c r="P20" s="7">
        <v>0.05</v>
      </c>
    </row>
    <row r="21" spans="1:16">
      <c r="A21" s="1" t="s">
        <v>92</v>
      </c>
      <c r="B21" s="2" t="s">
        <v>16</v>
      </c>
      <c r="C21" s="2" t="s">
        <v>93</v>
      </c>
      <c r="D21" s="2" t="s">
        <v>72</v>
      </c>
      <c r="E21" s="2" t="s">
        <v>19</v>
      </c>
      <c r="F21" s="2" t="s">
        <v>96</v>
      </c>
      <c r="G21" s="2" t="s">
        <v>97</v>
      </c>
      <c r="H21" s="2" t="s">
        <v>22</v>
      </c>
      <c r="I21" s="2" t="s">
        <v>95</v>
      </c>
      <c r="J21" s="6">
        <v>427</v>
      </c>
      <c r="K21" s="26">
        <v>42084</v>
      </c>
      <c r="L21" s="14"/>
      <c r="M21" s="2" t="s">
        <v>49</v>
      </c>
      <c r="N21" s="2" t="s">
        <v>25</v>
      </c>
      <c r="O21" s="2">
        <v>1E-3</v>
      </c>
      <c r="P21" s="7">
        <v>0.05</v>
      </c>
    </row>
    <row r="22" spans="1:16">
      <c r="A22" s="1" t="s">
        <v>98</v>
      </c>
      <c r="B22" s="2" t="s">
        <v>16</v>
      </c>
      <c r="C22" s="2" t="s">
        <v>93</v>
      </c>
      <c r="D22" s="2">
        <v>1</v>
      </c>
      <c r="E22" s="2" t="s">
        <v>51</v>
      </c>
      <c r="F22" s="2" t="s">
        <v>99</v>
      </c>
      <c r="G22" s="2" t="s">
        <v>100</v>
      </c>
      <c r="H22" s="2" t="s">
        <v>68</v>
      </c>
      <c r="I22" s="2" t="s">
        <v>101</v>
      </c>
      <c r="J22" s="6">
        <v>433</v>
      </c>
      <c r="K22" s="26">
        <v>42090</v>
      </c>
      <c r="L22" s="14"/>
      <c r="M22" s="2" t="s">
        <v>24</v>
      </c>
      <c r="N22" s="2" t="s">
        <v>56</v>
      </c>
      <c r="O22" s="1"/>
      <c r="P22" s="7"/>
    </row>
    <row r="23" spans="1:16" ht="26">
      <c r="A23" s="1" t="s">
        <v>102</v>
      </c>
      <c r="B23" s="2" t="s">
        <v>64</v>
      </c>
      <c r="C23" s="2" t="s">
        <v>27</v>
      </c>
      <c r="D23" s="2" t="s">
        <v>37</v>
      </c>
      <c r="E23" s="2" t="s">
        <v>19</v>
      </c>
      <c r="F23" s="2" t="s">
        <v>103</v>
      </c>
      <c r="G23" s="2" t="s">
        <v>104</v>
      </c>
      <c r="H23" s="2" t="s">
        <v>22</v>
      </c>
      <c r="I23" s="2" t="s">
        <v>105</v>
      </c>
      <c r="J23" s="6">
        <v>275</v>
      </c>
      <c r="K23" s="26">
        <v>41932</v>
      </c>
      <c r="L23" s="14" t="s">
        <v>70</v>
      </c>
      <c r="M23" s="2" t="s">
        <v>41</v>
      </c>
      <c r="N23" s="2" t="s">
        <v>25</v>
      </c>
      <c r="O23" s="1"/>
      <c r="P23" s="7"/>
    </row>
    <row r="24" spans="1:16">
      <c r="A24" s="1" t="s">
        <v>106</v>
      </c>
      <c r="B24" s="2" t="s">
        <v>16</v>
      </c>
      <c r="C24" s="2" t="s">
        <v>36</v>
      </c>
      <c r="D24" s="2" t="s">
        <v>37</v>
      </c>
      <c r="E24" s="2" t="s">
        <v>19</v>
      </c>
      <c r="F24" s="2" t="s">
        <v>107</v>
      </c>
      <c r="G24" s="2" t="s">
        <v>108</v>
      </c>
      <c r="H24" s="2" t="s">
        <v>22</v>
      </c>
      <c r="I24" s="2" t="s">
        <v>109</v>
      </c>
      <c r="J24" s="6">
        <v>1614</v>
      </c>
      <c r="K24" s="26">
        <v>43271</v>
      </c>
      <c r="L24" s="14"/>
      <c r="M24" s="2" t="s">
        <v>24</v>
      </c>
      <c r="N24" s="2" t="s">
        <v>25</v>
      </c>
      <c r="O24" s="2">
        <v>1E-3</v>
      </c>
      <c r="P24" s="7">
        <v>0.05</v>
      </c>
    </row>
    <row r="25" spans="1:16">
      <c r="A25" s="1" t="s">
        <v>110</v>
      </c>
      <c r="B25" s="2" t="s">
        <v>16</v>
      </c>
      <c r="C25" s="2" t="s">
        <v>36</v>
      </c>
      <c r="D25" s="2" t="s">
        <v>37</v>
      </c>
      <c r="E25" s="2" t="s">
        <v>19</v>
      </c>
      <c r="F25" s="2" t="s">
        <v>107</v>
      </c>
      <c r="G25" s="2" t="s">
        <v>111</v>
      </c>
      <c r="H25" s="2" t="s">
        <v>32</v>
      </c>
      <c r="I25" s="2" t="s">
        <v>112</v>
      </c>
      <c r="J25" s="6">
        <v>1614</v>
      </c>
      <c r="K25" s="26">
        <v>43271</v>
      </c>
      <c r="L25" s="14"/>
      <c r="M25" s="2" t="s">
        <v>49</v>
      </c>
      <c r="N25" s="2" t="s">
        <v>25</v>
      </c>
      <c r="O25" s="2">
        <v>1E-3</v>
      </c>
      <c r="P25" s="7">
        <v>0.05</v>
      </c>
    </row>
    <row r="26" spans="1:16">
      <c r="A26" s="1" t="s">
        <v>113</v>
      </c>
      <c r="B26" s="2" t="s">
        <v>16</v>
      </c>
      <c r="C26" s="2" t="s">
        <v>27</v>
      </c>
      <c r="D26" s="2" t="s">
        <v>37</v>
      </c>
      <c r="E26" s="2" t="s">
        <v>51</v>
      </c>
      <c r="F26" s="2" t="s">
        <v>114</v>
      </c>
      <c r="G26" s="2" t="s">
        <v>115</v>
      </c>
      <c r="H26" s="2" t="s">
        <v>68</v>
      </c>
      <c r="I26" s="2" t="s">
        <v>116</v>
      </c>
      <c r="J26" s="6">
        <v>1004</v>
      </c>
      <c r="K26" s="26">
        <v>42661</v>
      </c>
      <c r="L26" s="14"/>
      <c r="M26" s="2" t="s">
        <v>24</v>
      </c>
      <c r="N26" s="2" t="s">
        <v>56</v>
      </c>
      <c r="O26" s="2">
        <v>1E-3</v>
      </c>
      <c r="P26" s="7">
        <v>0.05</v>
      </c>
    </row>
    <row r="27" spans="1:16">
      <c r="A27" s="1" t="s">
        <v>113</v>
      </c>
      <c r="B27" s="2" t="s">
        <v>16</v>
      </c>
      <c r="C27" s="2" t="s">
        <v>27</v>
      </c>
      <c r="D27" s="2" t="s">
        <v>37</v>
      </c>
      <c r="E27" s="2" t="s">
        <v>51</v>
      </c>
      <c r="F27" s="2" t="s">
        <v>117</v>
      </c>
      <c r="G27" s="2" t="s">
        <v>118</v>
      </c>
      <c r="H27" s="2" t="s">
        <v>68</v>
      </c>
      <c r="I27" s="2" t="s">
        <v>116</v>
      </c>
      <c r="J27" s="6">
        <v>639</v>
      </c>
      <c r="K27" s="26">
        <v>42296</v>
      </c>
      <c r="L27" s="14"/>
      <c r="M27" s="2" t="s">
        <v>41</v>
      </c>
      <c r="N27" s="2" t="s">
        <v>56</v>
      </c>
      <c r="O27" s="2">
        <v>1E-3</v>
      </c>
      <c r="P27" s="7">
        <v>0.05</v>
      </c>
    </row>
    <row r="28" spans="1:16">
      <c r="A28" s="1" t="s">
        <v>113</v>
      </c>
      <c r="B28" s="2" t="s">
        <v>16</v>
      </c>
      <c r="C28" s="2" t="s">
        <v>27</v>
      </c>
      <c r="D28" s="2" t="s">
        <v>37</v>
      </c>
      <c r="E28" s="2" t="s">
        <v>51</v>
      </c>
      <c r="F28" s="2" t="s">
        <v>117</v>
      </c>
      <c r="G28" s="2" t="s">
        <v>119</v>
      </c>
      <c r="H28" s="2" t="s">
        <v>68</v>
      </c>
      <c r="I28" s="2" t="s">
        <v>116</v>
      </c>
      <c r="J28" s="6">
        <v>273</v>
      </c>
      <c r="K28" s="26">
        <v>41930</v>
      </c>
      <c r="L28" s="14"/>
      <c r="M28" s="2" t="s">
        <v>49</v>
      </c>
      <c r="N28" s="2" t="s">
        <v>56</v>
      </c>
      <c r="O28" s="2">
        <v>1E-3</v>
      </c>
      <c r="P28" s="7">
        <v>0.05</v>
      </c>
    </row>
    <row r="29" spans="1:16" ht="26">
      <c r="A29" s="1" t="s">
        <v>120</v>
      </c>
      <c r="B29" s="10" t="s">
        <v>64</v>
      </c>
      <c r="C29" s="2" t="s">
        <v>17</v>
      </c>
      <c r="D29" s="2" t="s">
        <v>28</v>
      </c>
      <c r="E29" s="2" t="s">
        <v>19</v>
      </c>
      <c r="F29" s="2" t="s">
        <v>107</v>
      </c>
      <c r="G29" s="2" t="s">
        <v>121</v>
      </c>
      <c r="H29" s="2" t="s">
        <v>22</v>
      </c>
      <c r="I29" s="2" t="s">
        <v>122</v>
      </c>
      <c r="J29" s="6">
        <v>1614</v>
      </c>
      <c r="K29" s="26">
        <v>43271</v>
      </c>
      <c r="L29" s="14" t="s">
        <v>70</v>
      </c>
      <c r="M29" s="2" t="s">
        <v>44</v>
      </c>
      <c r="N29" s="2" t="s">
        <v>25</v>
      </c>
      <c r="O29" s="11"/>
      <c r="P29" s="7"/>
    </row>
    <row r="30" spans="1:16">
      <c r="A30" s="1" t="s">
        <v>123</v>
      </c>
      <c r="B30" s="10" t="s">
        <v>16</v>
      </c>
      <c r="C30" s="2" t="s">
        <v>93</v>
      </c>
      <c r="D30" s="2" t="s">
        <v>28</v>
      </c>
      <c r="E30" s="2" t="s">
        <v>51</v>
      </c>
      <c r="F30" s="2" t="s">
        <v>124</v>
      </c>
      <c r="G30" s="2" t="s">
        <v>125</v>
      </c>
      <c r="H30" s="2" t="s">
        <v>126</v>
      </c>
      <c r="I30" s="2" t="s">
        <v>127</v>
      </c>
      <c r="J30" s="6">
        <v>624</v>
      </c>
      <c r="K30" s="26">
        <v>42281</v>
      </c>
      <c r="L30" s="14"/>
      <c r="M30" s="2" t="s">
        <v>41</v>
      </c>
      <c r="N30" s="2" t="s">
        <v>56</v>
      </c>
      <c r="O30" s="11">
        <v>1E-3</v>
      </c>
      <c r="P30" s="7">
        <v>0.05</v>
      </c>
    </row>
    <row r="31" spans="1:16">
      <c r="A31" s="1" t="s">
        <v>123</v>
      </c>
      <c r="B31" s="10" t="s">
        <v>16</v>
      </c>
      <c r="C31" s="2" t="s">
        <v>93</v>
      </c>
      <c r="D31" s="2" t="s">
        <v>28</v>
      </c>
      <c r="E31" s="2" t="s">
        <v>51</v>
      </c>
      <c r="F31" s="2" t="s">
        <v>128</v>
      </c>
      <c r="G31" s="2" t="s">
        <v>129</v>
      </c>
      <c r="H31" s="2" t="s">
        <v>126</v>
      </c>
      <c r="I31" s="2" t="s">
        <v>127</v>
      </c>
      <c r="J31" s="6">
        <v>76</v>
      </c>
      <c r="K31" s="26">
        <v>41733</v>
      </c>
      <c r="L31" s="14"/>
      <c r="M31" s="2" t="s">
        <v>49</v>
      </c>
      <c r="N31" s="2" t="s">
        <v>56</v>
      </c>
      <c r="O31" s="11">
        <v>1E-3</v>
      </c>
      <c r="P31" s="7">
        <v>0.05</v>
      </c>
    </row>
    <row r="32" spans="1:16">
      <c r="A32" s="1" t="s">
        <v>123</v>
      </c>
      <c r="B32" s="10" t="s">
        <v>16</v>
      </c>
      <c r="C32" s="2" t="s">
        <v>93</v>
      </c>
      <c r="D32" s="2" t="s">
        <v>28</v>
      </c>
      <c r="E32" s="2" t="s">
        <v>51</v>
      </c>
      <c r="F32" s="2" t="s">
        <v>130</v>
      </c>
      <c r="G32" s="2" t="s">
        <v>131</v>
      </c>
      <c r="H32" s="2" t="s">
        <v>126</v>
      </c>
      <c r="I32" s="2" t="s">
        <v>127</v>
      </c>
      <c r="J32" s="6">
        <v>624</v>
      </c>
      <c r="K32" s="26">
        <v>42281</v>
      </c>
      <c r="L32" s="14"/>
      <c r="M32" s="2" t="s">
        <v>44</v>
      </c>
      <c r="N32" s="2" t="s">
        <v>56</v>
      </c>
      <c r="O32" s="11">
        <v>1E-3</v>
      </c>
      <c r="P32" s="7">
        <v>0.05</v>
      </c>
    </row>
    <row r="33" spans="1:16" ht="26">
      <c r="A33" s="1" t="s">
        <v>132</v>
      </c>
      <c r="B33" s="10" t="s">
        <v>64</v>
      </c>
      <c r="C33" s="2" t="s">
        <v>65</v>
      </c>
      <c r="D33" s="2">
        <v>3</v>
      </c>
      <c r="E33" s="2" t="s">
        <v>51</v>
      </c>
      <c r="F33" s="2" t="s">
        <v>96</v>
      </c>
      <c r="G33" s="2" t="s">
        <v>133</v>
      </c>
      <c r="H33" s="2" t="s">
        <v>68</v>
      </c>
      <c r="I33" s="2" t="s">
        <v>134</v>
      </c>
      <c r="J33" s="6">
        <v>675</v>
      </c>
      <c r="K33" s="26">
        <v>42332</v>
      </c>
      <c r="L33" s="14" t="s">
        <v>70</v>
      </c>
      <c r="M33" s="2" t="s">
        <v>41</v>
      </c>
      <c r="N33" s="2" t="s">
        <v>56</v>
      </c>
      <c r="O33" s="11">
        <v>1E-3</v>
      </c>
      <c r="P33" s="7"/>
    </row>
    <row r="34" spans="1:16" ht="26">
      <c r="A34" s="1" t="s">
        <v>132</v>
      </c>
      <c r="B34" s="10" t="s">
        <v>64</v>
      </c>
      <c r="C34" s="2" t="s">
        <v>65</v>
      </c>
      <c r="D34" s="2">
        <v>3</v>
      </c>
      <c r="E34" s="2" t="s">
        <v>51</v>
      </c>
      <c r="F34" s="2" t="s">
        <v>124</v>
      </c>
      <c r="G34" s="2" t="s">
        <v>135</v>
      </c>
      <c r="H34" s="2" t="s">
        <v>68</v>
      </c>
      <c r="I34" s="2" t="s">
        <v>134</v>
      </c>
      <c r="J34" s="6">
        <v>675</v>
      </c>
      <c r="K34" s="26">
        <v>42332</v>
      </c>
      <c r="L34" s="14" t="s">
        <v>70</v>
      </c>
      <c r="M34" s="2" t="s">
        <v>49</v>
      </c>
      <c r="N34" s="2" t="s">
        <v>56</v>
      </c>
      <c r="O34" s="11">
        <v>1E-3</v>
      </c>
      <c r="P34" s="7"/>
    </row>
    <row r="35" spans="1:16" ht="26">
      <c r="A35" s="1" t="s">
        <v>136</v>
      </c>
      <c r="B35" s="10" t="s">
        <v>64</v>
      </c>
      <c r="C35" s="2" t="s">
        <v>27</v>
      </c>
      <c r="D35" s="2" t="s">
        <v>72</v>
      </c>
      <c r="E35" s="2" t="s">
        <v>19</v>
      </c>
      <c r="F35" s="2" t="s">
        <v>137</v>
      </c>
      <c r="G35" s="2" t="s">
        <v>138</v>
      </c>
      <c r="H35" s="2" t="s">
        <v>22</v>
      </c>
      <c r="I35" s="2" t="s">
        <v>139</v>
      </c>
      <c r="J35" s="6">
        <v>792</v>
      </c>
      <c r="K35" s="26">
        <v>42449</v>
      </c>
      <c r="L35" s="14" t="s">
        <v>70</v>
      </c>
      <c r="M35" s="2" t="s">
        <v>24</v>
      </c>
      <c r="N35" s="2" t="s">
        <v>25</v>
      </c>
      <c r="O35" s="11"/>
      <c r="P35" s="7"/>
    </row>
    <row r="36" spans="1:16">
      <c r="A36" s="1" t="s">
        <v>140</v>
      </c>
      <c r="B36" s="10" t="s">
        <v>16</v>
      </c>
      <c r="C36" s="2" t="s">
        <v>27</v>
      </c>
      <c r="D36" s="2" t="s">
        <v>72</v>
      </c>
      <c r="E36" s="2" t="s">
        <v>19</v>
      </c>
      <c r="F36" s="2" t="s">
        <v>124</v>
      </c>
      <c r="G36" s="2" t="s">
        <v>141</v>
      </c>
      <c r="H36" s="2" t="s">
        <v>22</v>
      </c>
      <c r="I36" s="2" t="s">
        <v>142</v>
      </c>
      <c r="J36" s="6">
        <v>1640</v>
      </c>
      <c r="K36" s="26">
        <v>43297</v>
      </c>
      <c r="L36" s="14"/>
      <c r="M36" s="2" t="s">
        <v>49</v>
      </c>
      <c r="N36" s="2" t="s">
        <v>25</v>
      </c>
      <c r="O36" s="11">
        <v>1E-3</v>
      </c>
      <c r="P36" s="7">
        <v>0.05</v>
      </c>
    </row>
    <row r="37" spans="1:16">
      <c r="A37" s="1" t="s">
        <v>140</v>
      </c>
      <c r="B37" s="10" t="s">
        <v>16</v>
      </c>
      <c r="C37" s="2" t="s">
        <v>27</v>
      </c>
      <c r="D37" s="2" t="s">
        <v>72</v>
      </c>
      <c r="E37" s="2" t="s">
        <v>19</v>
      </c>
      <c r="F37" s="2" t="s">
        <v>143</v>
      </c>
      <c r="G37" s="2" t="s">
        <v>144</v>
      </c>
      <c r="H37" s="2" t="s">
        <v>22</v>
      </c>
      <c r="I37" s="2" t="s">
        <v>142</v>
      </c>
      <c r="J37" s="6">
        <v>542</v>
      </c>
      <c r="K37" s="26">
        <v>42199</v>
      </c>
      <c r="L37" s="14"/>
      <c r="M37" s="2" t="s">
        <v>24</v>
      </c>
      <c r="N37" s="2" t="s">
        <v>25</v>
      </c>
      <c r="O37" s="11">
        <v>1E-3</v>
      </c>
      <c r="P37" s="7">
        <v>0.05</v>
      </c>
    </row>
    <row r="38" spans="1:16">
      <c r="A38" s="1" t="s">
        <v>140</v>
      </c>
      <c r="B38" s="10" t="s">
        <v>16</v>
      </c>
      <c r="C38" s="2" t="s">
        <v>27</v>
      </c>
      <c r="D38" s="2" t="s">
        <v>72</v>
      </c>
      <c r="E38" s="2" t="s">
        <v>19</v>
      </c>
      <c r="F38" s="2" t="s">
        <v>145</v>
      </c>
      <c r="G38" s="2" t="s">
        <v>146</v>
      </c>
      <c r="H38" s="2" t="s">
        <v>22</v>
      </c>
      <c r="I38" s="2" t="s">
        <v>142</v>
      </c>
      <c r="J38" s="6">
        <v>542</v>
      </c>
      <c r="K38" s="26">
        <v>42199</v>
      </c>
      <c r="L38" s="14"/>
      <c r="M38" s="2" t="s">
        <v>41</v>
      </c>
      <c r="N38" s="2" t="s">
        <v>25</v>
      </c>
      <c r="O38" s="11">
        <v>1E-3</v>
      </c>
      <c r="P38" s="7">
        <v>0.05</v>
      </c>
    </row>
    <row r="39" spans="1:16" ht="26">
      <c r="A39" s="1" t="s">
        <v>147</v>
      </c>
      <c r="B39" s="10" t="s">
        <v>64</v>
      </c>
      <c r="C39" s="2" t="s">
        <v>65</v>
      </c>
      <c r="D39" s="2" t="s">
        <v>37</v>
      </c>
      <c r="E39" s="2" t="s">
        <v>19</v>
      </c>
      <c r="F39" s="2" t="s">
        <v>148</v>
      </c>
      <c r="G39" s="2" t="s">
        <v>149</v>
      </c>
      <c r="H39" s="2" t="s">
        <v>22</v>
      </c>
      <c r="I39" s="2" t="s">
        <v>150</v>
      </c>
      <c r="J39" s="6">
        <v>792</v>
      </c>
      <c r="K39" s="26">
        <v>42449</v>
      </c>
      <c r="L39" s="14" t="s">
        <v>70</v>
      </c>
      <c r="M39" s="2" t="s">
        <v>41</v>
      </c>
      <c r="N39" s="2" t="s">
        <v>25</v>
      </c>
      <c r="O39" s="11"/>
      <c r="P39" s="7"/>
    </row>
    <row r="40" spans="1:16">
      <c r="A40" s="1" t="s">
        <v>15</v>
      </c>
      <c r="B40" s="10" t="s">
        <v>16</v>
      </c>
      <c r="C40" s="2" t="s">
        <v>17</v>
      </c>
      <c r="D40" s="2" t="s">
        <v>18</v>
      </c>
      <c r="E40" s="2" t="s">
        <v>19</v>
      </c>
      <c r="F40" s="2" t="s">
        <v>151</v>
      </c>
      <c r="G40" s="2" t="s">
        <v>152</v>
      </c>
      <c r="H40" s="2" t="s">
        <v>22</v>
      </c>
      <c r="I40" s="2" t="s">
        <v>23</v>
      </c>
      <c r="J40" s="6">
        <v>1614</v>
      </c>
      <c r="K40" s="26">
        <v>43271</v>
      </c>
      <c r="L40" s="14"/>
      <c r="M40" s="2" t="s">
        <v>41</v>
      </c>
      <c r="N40" s="2" t="s">
        <v>25</v>
      </c>
      <c r="O40" s="11"/>
      <c r="P40" s="7">
        <v>0.03</v>
      </c>
    </row>
    <row r="41" spans="1:16">
      <c r="A41" s="1" t="s">
        <v>153</v>
      </c>
      <c r="B41" s="10" t="s">
        <v>16</v>
      </c>
      <c r="C41" s="2" t="s">
        <v>17</v>
      </c>
      <c r="D41" s="2" t="s">
        <v>18</v>
      </c>
      <c r="E41" s="2" t="s">
        <v>19</v>
      </c>
      <c r="F41" s="2" t="s">
        <v>154</v>
      </c>
      <c r="G41" s="2" t="s">
        <v>155</v>
      </c>
      <c r="H41" s="2" t="s">
        <v>22</v>
      </c>
      <c r="I41" s="2" t="s">
        <v>156</v>
      </c>
      <c r="J41" s="6">
        <v>1614</v>
      </c>
      <c r="K41" s="26">
        <v>43271</v>
      </c>
      <c r="L41" s="14"/>
      <c r="M41" s="2" t="s">
        <v>44</v>
      </c>
      <c r="N41" s="2" t="s">
        <v>25</v>
      </c>
      <c r="O41" s="11"/>
      <c r="P41" s="7">
        <v>0.05</v>
      </c>
    </row>
    <row r="42" spans="1:16">
      <c r="A42" s="1" t="s">
        <v>153</v>
      </c>
      <c r="B42" s="10" t="s">
        <v>16</v>
      </c>
      <c r="C42" s="2" t="s">
        <v>17</v>
      </c>
      <c r="D42" s="2" t="s">
        <v>18</v>
      </c>
      <c r="E42" s="2" t="s">
        <v>19</v>
      </c>
      <c r="F42" s="2" t="s">
        <v>157</v>
      </c>
      <c r="G42" s="2" t="s">
        <v>158</v>
      </c>
      <c r="H42" s="2" t="s">
        <v>22</v>
      </c>
      <c r="I42" s="2" t="s">
        <v>156</v>
      </c>
      <c r="J42" s="6">
        <v>1979</v>
      </c>
      <c r="K42" s="26">
        <v>43636</v>
      </c>
      <c r="L42" s="14"/>
      <c r="M42" s="2" t="s">
        <v>49</v>
      </c>
      <c r="N42" s="2" t="s">
        <v>25</v>
      </c>
      <c r="O42" s="11"/>
      <c r="P42" s="7">
        <v>0.05</v>
      </c>
    </row>
    <row r="43" spans="1:16" ht="26">
      <c r="A43" s="1" t="s">
        <v>159</v>
      </c>
      <c r="B43" s="10" t="s">
        <v>64</v>
      </c>
      <c r="C43" s="2" t="s">
        <v>27</v>
      </c>
      <c r="D43" s="2" t="s">
        <v>72</v>
      </c>
      <c r="E43" s="2" t="s">
        <v>19</v>
      </c>
      <c r="F43" s="2" t="s">
        <v>160</v>
      </c>
      <c r="G43" s="2" t="s">
        <v>161</v>
      </c>
      <c r="H43" s="2" t="s">
        <v>22</v>
      </c>
      <c r="I43" s="2" t="s">
        <v>162</v>
      </c>
      <c r="J43" s="6">
        <v>2</v>
      </c>
      <c r="K43" s="26">
        <v>41659</v>
      </c>
      <c r="L43" s="14" t="s">
        <v>70</v>
      </c>
      <c r="M43" s="2" t="s">
        <v>44</v>
      </c>
      <c r="N43" s="2" t="s">
        <v>25</v>
      </c>
      <c r="O43" s="11"/>
      <c r="P43" s="7"/>
    </row>
    <row r="44" spans="1:16" ht="26">
      <c r="A44" s="1" t="s">
        <v>159</v>
      </c>
      <c r="B44" s="10" t="s">
        <v>64</v>
      </c>
      <c r="C44" s="2" t="s">
        <v>17</v>
      </c>
      <c r="D44" s="2" t="s">
        <v>28</v>
      </c>
      <c r="E44" s="2" t="s">
        <v>19</v>
      </c>
      <c r="F44" s="2" t="s">
        <v>163</v>
      </c>
      <c r="G44" s="2" t="s">
        <v>164</v>
      </c>
      <c r="H44" s="2" t="s">
        <v>22</v>
      </c>
      <c r="I44" s="2" t="s">
        <v>162</v>
      </c>
      <c r="J44" s="6">
        <v>2</v>
      </c>
      <c r="K44" s="26">
        <v>41659</v>
      </c>
      <c r="L44" s="14" t="s">
        <v>70</v>
      </c>
      <c r="M44" s="2" t="s">
        <v>49</v>
      </c>
      <c r="N44" s="2" t="s">
        <v>25</v>
      </c>
      <c r="O44" s="11"/>
      <c r="P44" s="7"/>
    </row>
    <row r="45" spans="1:16">
      <c r="A45" s="1" t="s">
        <v>165</v>
      </c>
      <c r="B45" s="10" t="s">
        <v>16</v>
      </c>
      <c r="C45" s="2" t="s">
        <v>93</v>
      </c>
      <c r="D45" s="2" t="s">
        <v>72</v>
      </c>
      <c r="E45" s="2" t="s">
        <v>19</v>
      </c>
      <c r="F45" s="2" t="s">
        <v>166</v>
      </c>
      <c r="G45" s="2" t="s">
        <v>167</v>
      </c>
      <c r="H45" s="2" t="s">
        <v>22</v>
      </c>
      <c r="I45" s="2" t="s">
        <v>168</v>
      </c>
      <c r="J45" s="6">
        <v>1003</v>
      </c>
      <c r="K45" s="26">
        <v>42660</v>
      </c>
      <c r="L45" s="14"/>
      <c r="M45" s="2" t="s">
        <v>49</v>
      </c>
      <c r="N45" s="2" t="s">
        <v>25</v>
      </c>
      <c r="O45" s="11">
        <v>1E-3</v>
      </c>
      <c r="P45" s="7">
        <v>0.05</v>
      </c>
    </row>
    <row r="46" spans="1:16">
      <c r="A46" s="1" t="s">
        <v>169</v>
      </c>
      <c r="B46" s="10" t="s">
        <v>16</v>
      </c>
      <c r="C46" s="2" t="s">
        <v>27</v>
      </c>
      <c r="D46" s="2" t="s">
        <v>72</v>
      </c>
      <c r="E46" s="2" t="s">
        <v>19</v>
      </c>
      <c r="F46" s="2" t="s">
        <v>103</v>
      </c>
      <c r="G46" s="2" t="s">
        <v>170</v>
      </c>
      <c r="H46" s="2" t="s">
        <v>22</v>
      </c>
      <c r="I46" s="2" t="s">
        <v>171</v>
      </c>
      <c r="J46" s="6">
        <v>1562</v>
      </c>
      <c r="K46" s="26">
        <v>43219</v>
      </c>
      <c r="L46" s="14"/>
      <c r="M46" s="2" t="s">
        <v>49</v>
      </c>
      <c r="N46" s="2" t="s">
        <v>25</v>
      </c>
      <c r="O46" s="11"/>
      <c r="P46" s="7">
        <v>0.03</v>
      </c>
    </row>
    <row r="47" spans="1:16">
      <c r="A47" s="1" t="s">
        <v>169</v>
      </c>
      <c r="B47" s="10" t="s">
        <v>16</v>
      </c>
      <c r="C47" s="2" t="s">
        <v>27</v>
      </c>
      <c r="D47" s="2" t="s">
        <v>72</v>
      </c>
      <c r="E47" s="2" t="s">
        <v>19</v>
      </c>
      <c r="F47" s="2" t="s">
        <v>172</v>
      </c>
      <c r="G47" s="2" t="s">
        <v>173</v>
      </c>
      <c r="H47" s="2" t="s">
        <v>22</v>
      </c>
      <c r="I47" s="2" t="s">
        <v>171</v>
      </c>
      <c r="J47" s="6">
        <v>832</v>
      </c>
      <c r="K47" s="26">
        <v>42489</v>
      </c>
      <c r="L47" s="14"/>
      <c r="M47" s="2" t="s">
        <v>24</v>
      </c>
      <c r="N47" s="2" t="s">
        <v>25</v>
      </c>
      <c r="O47" s="11"/>
      <c r="P47" s="7"/>
    </row>
    <row r="48" spans="1:16">
      <c r="A48" s="1" t="s">
        <v>26</v>
      </c>
      <c r="B48" s="10" t="s">
        <v>16</v>
      </c>
      <c r="C48" s="2" t="s">
        <v>27</v>
      </c>
      <c r="D48" s="2" t="s">
        <v>28</v>
      </c>
      <c r="E48" s="2" t="s">
        <v>29</v>
      </c>
      <c r="F48" s="2" t="s">
        <v>154</v>
      </c>
      <c r="G48" s="2" t="s">
        <v>174</v>
      </c>
      <c r="H48" s="2" t="s">
        <v>32</v>
      </c>
      <c r="I48" s="2" t="s">
        <v>33</v>
      </c>
      <c r="J48" s="6">
        <v>1948</v>
      </c>
      <c r="K48" s="26">
        <v>43605</v>
      </c>
      <c r="L48" s="14"/>
      <c r="M48" s="2" t="s">
        <v>49</v>
      </c>
      <c r="N48" s="2" t="s">
        <v>34</v>
      </c>
      <c r="O48" s="11">
        <v>1E-3</v>
      </c>
      <c r="P48" s="7">
        <v>0.05</v>
      </c>
    </row>
    <row r="49" spans="1:16">
      <c r="A49" s="1" t="s">
        <v>175</v>
      </c>
      <c r="B49" s="10" t="s">
        <v>16</v>
      </c>
      <c r="C49" s="2" t="s">
        <v>27</v>
      </c>
      <c r="D49" s="2" t="s">
        <v>28</v>
      </c>
      <c r="E49" s="2" t="s">
        <v>19</v>
      </c>
      <c r="F49" s="2" t="s">
        <v>128</v>
      </c>
      <c r="G49" s="2" t="s">
        <v>176</v>
      </c>
      <c r="H49" s="2" t="s">
        <v>177</v>
      </c>
      <c r="I49" s="2" t="s">
        <v>178</v>
      </c>
      <c r="J49" s="6">
        <v>1948</v>
      </c>
      <c r="K49" s="26">
        <v>43605</v>
      </c>
      <c r="L49" s="14"/>
      <c r="M49" s="2" t="s">
        <v>41</v>
      </c>
      <c r="N49" s="2" t="s">
        <v>25</v>
      </c>
      <c r="O49" s="11">
        <v>1E-3</v>
      </c>
      <c r="P49" s="7">
        <v>0.05</v>
      </c>
    </row>
    <row r="50" spans="1:16">
      <c r="A50" s="1" t="s">
        <v>175</v>
      </c>
      <c r="B50" s="10" t="s">
        <v>16</v>
      </c>
      <c r="C50" s="2" t="s">
        <v>27</v>
      </c>
      <c r="D50" s="2" t="s">
        <v>28</v>
      </c>
      <c r="E50" s="2" t="s">
        <v>19</v>
      </c>
      <c r="F50" s="2" t="s">
        <v>30</v>
      </c>
      <c r="G50" s="2" t="s">
        <v>179</v>
      </c>
      <c r="H50" s="2" t="s">
        <v>177</v>
      </c>
      <c r="I50" s="2" t="s">
        <v>178</v>
      </c>
      <c r="J50" s="6">
        <v>1583</v>
      </c>
      <c r="K50" s="26">
        <v>43240</v>
      </c>
      <c r="L50" s="14"/>
      <c r="M50" s="2" t="s">
        <v>44</v>
      </c>
      <c r="N50" s="2" t="s">
        <v>25</v>
      </c>
      <c r="O50" s="11">
        <v>1E-3</v>
      </c>
      <c r="P50" s="7">
        <v>0.05</v>
      </c>
    </row>
    <row r="51" spans="1:16" ht="26">
      <c r="A51" s="1" t="s">
        <v>180</v>
      </c>
      <c r="B51" s="10" t="s">
        <v>64</v>
      </c>
      <c r="C51" s="2" t="s">
        <v>27</v>
      </c>
      <c r="D51" s="2" t="s">
        <v>37</v>
      </c>
      <c r="E51" s="2" t="s">
        <v>19</v>
      </c>
      <c r="F51" s="2" t="s">
        <v>181</v>
      </c>
      <c r="G51" s="2" t="s">
        <v>182</v>
      </c>
      <c r="H51" s="2" t="s">
        <v>22</v>
      </c>
      <c r="I51" s="2" t="s">
        <v>183</v>
      </c>
      <c r="J51" s="6">
        <v>1614</v>
      </c>
      <c r="K51" s="26">
        <v>43271</v>
      </c>
      <c r="L51" s="14" t="s">
        <v>70</v>
      </c>
      <c r="M51" s="2" t="s">
        <v>24</v>
      </c>
      <c r="N51" s="2" t="s">
        <v>25</v>
      </c>
      <c r="O51" s="11"/>
      <c r="P51" s="7"/>
    </row>
    <row r="52" spans="1:16" ht="26">
      <c r="A52" s="1" t="s">
        <v>180</v>
      </c>
      <c r="B52" s="10" t="s">
        <v>64</v>
      </c>
      <c r="C52" s="2" t="s">
        <v>27</v>
      </c>
      <c r="D52" s="2" t="s">
        <v>37</v>
      </c>
      <c r="E52" s="2" t="s">
        <v>19</v>
      </c>
      <c r="F52" s="2" t="s">
        <v>130</v>
      </c>
      <c r="G52" s="2" t="s">
        <v>184</v>
      </c>
      <c r="H52" s="2" t="s">
        <v>22</v>
      </c>
      <c r="I52" s="2" t="s">
        <v>183</v>
      </c>
      <c r="J52" s="6">
        <v>2345</v>
      </c>
      <c r="K52" s="26">
        <v>44002</v>
      </c>
      <c r="L52" s="14" t="s">
        <v>70</v>
      </c>
      <c r="M52" s="2" t="s">
        <v>41</v>
      </c>
      <c r="N52" s="2" t="s">
        <v>25</v>
      </c>
      <c r="O52" s="11"/>
      <c r="P52" s="7"/>
    </row>
    <row r="53" spans="1:16">
      <c r="A53" s="1" t="s">
        <v>185</v>
      </c>
      <c r="B53" s="10" t="s">
        <v>16</v>
      </c>
      <c r="C53" s="2" t="s">
        <v>27</v>
      </c>
      <c r="D53" s="2" t="s">
        <v>72</v>
      </c>
      <c r="E53" s="2" t="s">
        <v>19</v>
      </c>
      <c r="F53" s="2" t="s">
        <v>57</v>
      </c>
      <c r="G53" s="2" t="s">
        <v>186</v>
      </c>
      <c r="H53" s="2" t="s">
        <v>22</v>
      </c>
      <c r="I53" s="2" t="s">
        <v>187</v>
      </c>
      <c r="J53" s="6">
        <v>1249</v>
      </c>
      <c r="K53" s="26">
        <v>42906</v>
      </c>
      <c r="L53" s="14"/>
      <c r="M53" s="2" t="s">
        <v>24</v>
      </c>
      <c r="N53" s="2" t="s">
        <v>25</v>
      </c>
      <c r="O53" s="11"/>
      <c r="P53" s="7">
        <v>0.05</v>
      </c>
    </row>
    <row r="54" spans="1:16">
      <c r="A54" s="1" t="s">
        <v>185</v>
      </c>
      <c r="B54" s="10" t="s">
        <v>16</v>
      </c>
      <c r="C54" s="2" t="s">
        <v>27</v>
      </c>
      <c r="D54" s="2" t="s">
        <v>72</v>
      </c>
      <c r="E54" s="2" t="s">
        <v>19</v>
      </c>
      <c r="F54" s="2" t="s">
        <v>188</v>
      </c>
      <c r="G54" s="2" t="s">
        <v>189</v>
      </c>
      <c r="H54" s="2" t="s">
        <v>22</v>
      </c>
      <c r="I54" s="2" t="s">
        <v>187</v>
      </c>
      <c r="J54" s="6">
        <v>1249</v>
      </c>
      <c r="K54" s="26">
        <v>42906</v>
      </c>
      <c r="L54" s="14"/>
      <c r="M54" s="2" t="s">
        <v>41</v>
      </c>
      <c r="N54" s="2" t="s">
        <v>25</v>
      </c>
      <c r="O54" s="11"/>
      <c r="P54" s="7">
        <v>0.05</v>
      </c>
    </row>
    <row r="55" spans="1:16">
      <c r="A55" s="1" t="s">
        <v>190</v>
      </c>
      <c r="B55" s="10" t="s">
        <v>16</v>
      </c>
      <c r="C55" s="2" t="s">
        <v>93</v>
      </c>
      <c r="D55" s="2" t="s">
        <v>72</v>
      </c>
      <c r="E55" s="2" t="s">
        <v>19</v>
      </c>
      <c r="F55" s="2" t="s">
        <v>181</v>
      </c>
      <c r="G55" s="2" t="s">
        <v>191</v>
      </c>
      <c r="H55" s="2" t="s">
        <v>22</v>
      </c>
      <c r="I55" s="2" t="s">
        <v>192</v>
      </c>
      <c r="J55" s="6">
        <v>1323</v>
      </c>
      <c r="K55" s="26">
        <v>42980</v>
      </c>
      <c r="L55" s="14"/>
      <c r="M55" s="2" t="s">
        <v>44</v>
      </c>
      <c r="N55" s="2" t="s">
        <v>25</v>
      </c>
      <c r="O55" s="11">
        <v>1E-3</v>
      </c>
      <c r="P55" s="7">
        <v>0.05</v>
      </c>
    </row>
    <row r="56" spans="1:16">
      <c r="A56" s="1" t="s">
        <v>190</v>
      </c>
      <c r="B56" s="10" t="s">
        <v>16</v>
      </c>
      <c r="C56" s="2" t="s">
        <v>93</v>
      </c>
      <c r="D56" s="2" t="s">
        <v>72</v>
      </c>
      <c r="E56" s="2" t="s">
        <v>19</v>
      </c>
      <c r="F56" s="2" t="s">
        <v>193</v>
      </c>
      <c r="G56" s="2" t="s">
        <v>194</v>
      </c>
      <c r="H56" s="2" t="s">
        <v>22</v>
      </c>
      <c r="I56" s="2" t="s">
        <v>192</v>
      </c>
      <c r="J56" s="6">
        <v>1688</v>
      </c>
      <c r="K56" s="26">
        <v>43345</v>
      </c>
      <c r="L56" s="14"/>
      <c r="M56" s="2" t="s">
        <v>49</v>
      </c>
      <c r="N56" s="2" t="s">
        <v>25</v>
      </c>
      <c r="O56" s="11">
        <v>1E-3</v>
      </c>
      <c r="P56" s="7">
        <v>0.05</v>
      </c>
    </row>
    <row r="57" spans="1:16" ht="26">
      <c r="A57" s="1" t="s">
        <v>195</v>
      </c>
      <c r="B57" s="10" t="s">
        <v>64</v>
      </c>
      <c r="C57" s="2" t="s">
        <v>17</v>
      </c>
      <c r="D57" s="2" t="s">
        <v>37</v>
      </c>
      <c r="E57" s="2" t="s">
        <v>19</v>
      </c>
      <c r="F57" s="2" t="s">
        <v>30</v>
      </c>
      <c r="G57" s="2" t="s">
        <v>196</v>
      </c>
      <c r="H57" s="2" t="s">
        <v>22</v>
      </c>
      <c r="I57" s="2" t="s">
        <v>197</v>
      </c>
      <c r="J57" s="6">
        <v>1</v>
      </c>
      <c r="K57" s="26">
        <v>41658</v>
      </c>
      <c r="L57" s="14" t="s">
        <v>70</v>
      </c>
      <c r="M57" s="2" t="s">
        <v>44</v>
      </c>
      <c r="N57" s="2" t="s">
        <v>25</v>
      </c>
      <c r="O57" s="11">
        <v>1E-3</v>
      </c>
      <c r="P57" s="7"/>
    </row>
    <row r="58" spans="1:16" ht="26">
      <c r="A58" s="1" t="s">
        <v>195</v>
      </c>
      <c r="B58" s="10" t="s">
        <v>64</v>
      </c>
      <c r="C58" s="2" t="s">
        <v>17</v>
      </c>
      <c r="D58" s="2" t="s">
        <v>37</v>
      </c>
      <c r="E58" s="2" t="s">
        <v>19</v>
      </c>
      <c r="F58" s="2" t="s">
        <v>66</v>
      </c>
      <c r="G58" s="2" t="s">
        <v>198</v>
      </c>
      <c r="H58" s="2" t="s">
        <v>22</v>
      </c>
      <c r="I58" s="2" t="s">
        <v>197</v>
      </c>
      <c r="J58" s="6">
        <v>1</v>
      </c>
      <c r="K58" s="26">
        <v>41658</v>
      </c>
      <c r="L58" s="14" t="s">
        <v>70</v>
      </c>
      <c r="M58" s="2" t="s">
        <v>49</v>
      </c>
      <c r="N58" s="2" t="s">
        <v>25</v>
      </c>
      <c r="O58" s="11">
        <v>1E-3</v>
      </c>
      <c r="P58" s="7"/>
    </row>
    <row r="59" spans="1:16">
      <c r="A59" s="1" t="s">
        <v>199</v>
      </c>
      <c r="B59" s="10" t="s">
        <v>16</v>
      </c>
      <c r="C59" s="2" t="s">
        <v>17</v>
      </c>
      <c r="D59" s="2" t="s">
        <v>72</v>
      </c>
      <c r="E59" s="2" t="s">
        <v>200</v>
      </c>
      <c r="F59" s="2" t="s">
        <v>201</v>
      </c>
      <c r="G59" s="2" t="s">
        <v>202</v>
      </c>
      <c r="H59" s="2" t="s">
        <v>203</v>
      </c>
      <c r="I59" s="2" t="s">
        <v>204</v>
      </c>
      <c r="J59" s="6">
        <v>1</v>
      </c>
      <c r="K59" s="26">
        <v>41658</v>
      </c>
      <c r="L59" s="14"/>
      <c r="M59" s="2" t="s">
        <v>49</v>
      </c>
      <c r="N59" s="2" t="s">
        <v>205</v>
      </c>
      <c r="O59" s="11">
        <v>1E-3</v>
      </c>
      <c r="P59" s="7">
        <v>0.05</v>
      </c>
    </row>
    <row r="60" spans="1:16">
      <c r="A60" s="1" t="s">
        <v>71</v>
      </c>
      <c r="B60" s="10" t="s">
        <v>16</v>
      </c>
      <c r="C60" s="2" t="s">
        <v>27</v>
      </c>
      <c r="D60" s="2" t="s">
        <v>72</v>
      </c>
      <c r="E60" s="2" t="s">
        <v>19</v>
      </c>
      <c r="F60" s="2" t="s">
        <v>143</v>
      </c>
      <c r="G60" s="2" t="s">
        <v>206</v>
      </c>
      <c r="H60" s="2" t="s">
        <v>22</v>
      </c>
      <c r="I60" s="2" t="s">
        <v>75</v>
      </c>
      <c r="J60" s="6">
        <v>1101</v>
      </c>
      <c r="K60" s="26">
        <v>42758</v>
      </c>
      <c r="L60" s="14"/>
      <c r="M60" s="2" t="s">
        <v>24</v>
      </c>
      <c r="N60" s="2" t="s">
        <v>25</v>
      </c>
      <c r="O60" s="11">
        <v>1E-3</v>
      </c>
      <c r="P60" s="7">
        <v>0.05</v>
      </c>
    </row>
    <row r="61" spans="1:16" ht="26">
      <c r="A61" s="1" t="s">
        <v>207</v>
      </c>
      <c r="B61" s="10" t="s">
        <v>64</v>
      </c>
      <c r="C61" s="2" t="s">
        <v>27</v>
      </c>
      <c r="D61" s="2" t="s">
        <v>72</v>
      </c>
      <c r="E61" s="2" t="s">
        <v>19</v>
      </c>
      <c r="F61" s="2" t="s">
        <v>57</v>
      </c>
      <c r="G61" s="2" t="s">
        <v>208</v>
      </c>
      <c r="H61" s="2" t="s">
        <v>22</v>
      </c>
      <c r="I61" s="2" t="s">
        <v>209</v>
      </c>
      <c r="J61" s="6">
        <v>1645</v>
      </c>
      <c r="K61" s="26">
        <v>43302</v>
      </c>
      <c r="L61" s="14" t="s">
        <v>70</v>
      </c>
      <c r="M61" s="2" t="s">
        <v>24</v>
      </c>
      <c r="N61" s="2" t="s">
        <v>25</v>
      </c>
      <c r="O61" s="11">
        <v>1E-3</v>
      </c>
      <c r="P61" s="7"/>
    </row>
    <row r="62" spans="1:16">
      <c r="A62" s="1" t="s">
        <v>210</v>
      </c>
      <c r="B62" s="10" t="s">
        <v>16</v>
      </c>
      <c r="C62" s="2" t="s">
        <v>17</v>
      </c>
      <c r="D62" s="2" t="s">
        <v>72</v>
      </c>
      <c r="E62" s="2" t="s">
        <v>19</v>
      </c>
      <c r="F62" s="2" t="s">
        <v>42</v>
      </c>
      <c r="G62" s="2" t="s">
        <v>211</v>
      </c>
      <c r="H62" s="2" t="s">
        <v>22</v>
      </c>
      <c r="I62" s="2" t="s">
        <v>212</v>
      </c>
      <c r="J62" s="6">
        <v>1249</v>
      </c>
      <c r="K62" s="26">
        <v>42906</v>
      </c>
      <c r="L62" s="14"/>
      <c r="M62" s="2" t="s">
        <v>49</v>
      </c>
      <c r="N62" s="2" t="s">
        <v>25</v>
      </c>
      <c r="O62" s="11"/>
      <c r="P62" s="7"/>
    </row>
    <row r="63" spans="1:16" ht="26">
      <c r="A63" s="1" t="s">
        <v>213</v>
      </c>
      <c r="B63" s="10" t="s">
        <v>64</v>
      </c>
      <c r="C63" s="2" t="s">
        <v>65</v>
      </c>
      <c r="D63" s="2" t="s">
        <v>72</v>
      </c>
      <c r="E63" s="2" t="s">
        <v>19</v>
      </c>
      <c r="F63" s="2" t="s">
        <v>214</v>
      </c>
      <c r="G63" s="9" t="s">
        <v>215</v>
      </c>
      <c r="H63" s="2" t="s">
        <v>22</v>
      </c>
      <c r="I63" s="2" t="s">
        <v>216</v>
      </c>
      <c r="J63" s="6">
        <v>749</v>
      </c>
      <c r="K63" s="26">
        <v>42406</v>
      </c>
      <c r="L63" s="14" t="s">
        <v>70</v>
      </c>
      <c r="M63" s="2" t="s">
        <v>49</v>
      </c>
      <c r="N63" s="2" t="s">
        <v>25</v>
      </c>
      <c r="O63" s="11"/>
      <c r="P63" s="7"/>
    </row>
    <row r="64" spans="1:16" ht="26">
      <c r="A64" s="1" t="s">
        <v>217</v>
      </c>
      <c r="B64" s="10" t="s">
        <v>64</v>
      </c>
      <c r="C64" s="2" t="s">
        <v>93</v>
      </c>
      <c r="D64" s="2" t="s">
        <v>72</v>
      </c>
      <c r="E64" s="2" t="s">
        <v>51</v>
      </c>
      <c r="F64" s="2" t="s">
        <v>214</v>
      </c>
      <c r="G64" s="12" t="s">
        <v>218</v>
      </c>
      <c r="H64" s="2" t="s">
        <v>68</v>
      </c>
      <c r="I64" s="2" t="s">
        <v>219</v>
      </c>
      <c r="J64" s="6">
        <v>749</v>
      </c>
      <c r="K64" s="26">
        <v>42406</v>
      </c>
      <c r="L64" s="14" t="s">
        <v>70</v>
      </c>
      <c r="M64" s="2" t="s">
        <v>41</v>
      </c>
      <c r="N64" s="2" t="s">
        <v>56</v>
      </c>
      <c r="O64" s="11"/>
      <c r="P64" s="7"/>
    </row>
    <row r="65" spans="1:16" ht="26">
      <c r="A65" s="1" t="s">
        <v>213</v>
      </c>
      <c r="B65" s="10" t="s">
        <v>64</v>
      </c>
      <c r="C65" s="2" t="s">
        <v>65</v>
      </c>
      <c r="D65" s="2" t="s">
        <v>72</v>
      </c>
      <c r="E65" s="2" t="s">
        <v>19</v>
      </c>
      <c r="F65" s="2" t="s">
        <v>220</v>
      </c>
      <c r="G65" s="12" t="s">
        <v>221</v>
      </c>
      <c r="H65" s="2" t="s">
        <v>22</v>
      </c>
      <c r="I65" s="2" t="s">
        <v>216</v>
      </c>
      <c r="J65" s="6">
        <v>749</v>
      </c>
      <c r="K65" s="26">
        <v>42406</v>
      </c>
      <c r="L65" s="14" t="s">
        <v>70</v>
      </c>
      <c r="M65" s="2" t="s">
        <v>24</v>
      </c>
      <c r="N65" s="2" t="s">
        <v>25</v>
      </c>
      <c r="O65" s="11"/>
      <c r="P65" s="7"/>
    </row>
    <row r="66" spans="1:16" ht="26">
      <c r="A66" s="1" t="s">
        <v>217</v>
      </c>
      <c r="B66" s="10" t="s">
        <v>64</v>
      </c>
      <c r="C66" s="2" t="s">
        <v>93</v>
      </c>
      <c r="D66" s="2" t="s">
        <v>72</v>
      </c>
      <c r="E66" s="2" t="s">
        <v>51</v>
      </c>
      <c r="F66" s="2" t="s">
        <v>220</v>
      </c>
      <c r="G66" s="5" t="s">
        <v>222</v>
      </c>
      <c r="H66" s="2" t="s">
        <v>68</v>
      </c>
      <c r="I66" s="2" t="s">
        <v>219</v>
      </c>
      <c r="J66" s="6">
        <v>749</v>
      </c>
      <c r="K66" s="26">
        <v>42406</v>
      </c>
      <c r="L66" s="14" t="s">
        <v>70</v>
      </c>
      <c r="M66" s="2" t="s">
        <v>44</v>
      </c>
      <c r="N66" s="2" t="s">
        <v>56</v>
      </c>
      <c r="O66" s="11"/>
      <c r="P66" s="7"/>
    </row>
    <row r="67" spans="1:16" ht="26">
      <c r="A67" s="1" t="s">
        <v>213</v>
      </c>
      <c r="B67" s="10" t="s">
        <v>64</v>
      </c>
      <c r="C67" s="2" t="s">
        <v>65</v>
      </c>
      <c r="D67" s="2" t="s">
        <v>72</v>
      </c>
      <c r="E67" s="2" t="s">
        <v>19</v>
      </c>
      <c r="F67" s="2" t="s">
        <v>223</v>
      </c>
      <c r="G67" s="9" t="s">
        <v>224</v>
      </c>
      <c r="H67" s="2" t="s">
        <v>22</v>
      </c>
      <c r="I67" s="2" t="s">
        <v>216</v>
      </c>
      <c r="J67" s="6">
        <v>1479</v>
      </c>
      <c r="K67" s="26">
        <v>43136</v>
      </c>
      <c r="L67" s="14" t="s">
        <v>70</v>
      </c>
      <c r="M67" s="2" t="s">
        <v>41</v>
      </c>
      <c r="N67" s="2" t="s">
        <v>25</v>
      </c>
      <c r="O67" s="11"/>
      <c r="P67" s="7"/>
    </row>
    <row r="68" spans="1:16" ht="26">
      <c r="A68" s="1" t="s">
        <v>217</v>
      </c>
      <c r="B68" s="10" t="s">
        <v>64</v>
      </c>
      <c r="C68" s="2" t="s">
        <v>93</v>
      </c>
      <c r="D68" s="2" t="s">
        <v>72</v>
      </c>
      <c r="E68" s="2" t="s">
        <v>51</v>
      </c>
      <c r="F68" s="2" t="s">
        <v>223</v>
      </c>
      <c r="G68" s="9" t="s">
        <v>225</v>
      </c>
      <c r="H68" s="2" t="s">
        <v>68</v>
      </c>
      <c r="I68" s="2" t="s">
        <v>219</v>
      </c>
      <c r="J68" s="6">
        <v>1479</v>
      </c>
      <c r="K68" s="26">
        <v>43136</v>
      </c>
      <c r="L68" s="14" t="s">
        <v>70</v>
      </c>
      <c r="M68" s="2" t="s">
        <v>49</v>
      </c>
      <c r="N68" s="2" t="s">
        <v>56</v>
      </c>
      <c r="O68" s="11"/>
      <c r="P68" s="7"/>
    </row>
    <row r="69" spans="1:16" ht="26">
      <c r="A69" s="1" t="s">
        <v>226</v>
      </c>
      <c r="B69" s="10" t="s">
        <v>64</v>
      </c>
      <c r="C69" s="2" t="s">
        <v>93</v>
      </c>
      <c r="D69" s="2" t="s">
        <v>72</v>
      </c>
      <c r="E69" s="2" t="s">
        <v>51</v>
      </c>
      <c r="F69" s="2" t="s">
        <v>220</v>
      </c>
      <c r="G69" s="9" t="s">
        <v>227</v>
      </c>
      <c r="H69" s="2" t="s">
        <v>68</v>
      </c>
      <c r="I69" s="2" t="s">
        <v>228</v>
      </c>
      <c r="J69" s="6">
        <v>749</v>
      </c>
      <c r="K69" s="26">
        <v>42406</v>
      </c>
      <c r="L69" s="14" t="s">
        <v>70</v>
      </c>
      <c r="M69" s="2" t="s">
        <v>44</v>
      </c>
      <c r="N69" s="2" t="s">
        <v>56</v>
      </c>
      <c r="O69" s="11"/>
      <c r="P69" s="7"/>
    </row>
    <row r="70" spans="1:16" ht="26">
      <c r="A70" s="1" t="s">
        <v>226</v>
      </c>
      <c r="B70" s="10" t="s">
        <v>64</v>
      </c>
      <c r="C70" s="2" t="s">
        <v>93</v>
      </c>
      <c r="D70" s="2" t="s">
        <v>72</v>
      </c>
      <c r="E70" s="2" t="s">
        <v>51</v>
      </c>
      <c r="F70" s="2" t="s">
        <v>223</v>
      </c>
      <c r="G70" s="9" t="s">
        <v>229</v>
      </c>
      <c r="H70" s="2" t="s">
        <v>68</v>
      </c>
      <c r="I70" s="2" t="s">
        <v>228</v>
      </c>
      <c r="J70" s="6">
        <v>1479</v>
      </c>
      <c r="K70" s="26">
        <v>43136</v>
      </c>
      <c r="L70" s="14" t="s">
        <v>70</v>
      </c>
      <c r="M70" s="2" t="s">
        <v>49</v>
      </c>
      <c r="N70" s="2" t="s">
        <v>56</v>
      </c>
      <c r="O70" s="11"/>
      <c r="P70" s="7"/>
    </row>
    <row r="71" spans="1:16" ht="26">
      <c r="A71" s="1" t="s">
        <v>226</v>
      </c>
      <c r="B71" s="10" t="s">
        <v>64</v>
      </c>
      <c r="C71" s="2" t="s">
        <v>93</v>
      </c>
      <c r="D71" s="2" t="s">
        <v>72</v>
      </c>
      <c r="E71" s="2" t="s">
        <v>51</v>
      </c>
      <c r="F71" s="2" t="s">
        <v>214</v>
      </c>
      <c r="G71" s="9" t="s">
        <v>230</v>
      </c>
      <c r="H71" s="2" t="s">
        <v>68</v>
      </c>
      <c r="I71" s="2" t="s">
        <v>228</v>
      </c>
      <c r="J71" s="6">
        <v>749</v>
      </c>
      <c r="K71" s="26">
        <v>42406</v>
      </c>
      <c r="L71" s="14" t="s">
        <v>70</v>
      </c>
      <c r="M71" s="2" t="s">
        <v>24</v>
      </c>
      <c r="N71" s="2" t="s">
        <v>56</v>
      </c>
      <c r="O71" s="11"/>
      <c r="P71" s="7"/>
    </row>
    <row r="72" spans="1:16" ht="26">
      <c r="A72" s="1" t="s">
        <v>231</v>
      </c>
      <c r="B72" s="10" t="s">
        <v>64</v>
      </c>
      <c r="C72" s="2" t="s">
        <v>17</v>
      </c>
      <c r="D72" s="2" t="s">
        <v>72</v>
      </c>
      <c r="E72" s="2" t="s">
        <v>19</v>
      </c>
      <c r="F72" s="2" t="s">
        <v>232</v>
      </c>
      <c r="G72" s="2" t="s">
        <v>233</v>
      </c>
      <c r="H72" s="2" t="s">
        <v>22</v>
      </c>
      <c r="I72" s="2" t="s">
        <v>234</v>
      </c>
      <c r="J72" s="6">
        <v>1553</v>
      </c>
      <c r="K72" s="26">
        <v>43210</v>
      </c>
      <c r="L72" s="14" t="s">
        <v>70</v>
      </c>
      <c r="M72" s="2" t="s">
        <v>44</v>
      </c>
      <c r="N72" s="2" t="s">
        <v>25</v>
      </c>
      <c r="O72" s="11"/>
      <c r="P72" s="7"/>
    </row>
    <row r="73" spans="1:16" ht="26">
      <c r="A73" s="1" t="s">
        <v>235</v>
      </c>
      <c r="B73" s="10" t="s">
        <v>64</v>
      </c>
      <c r="C73" s="2" t="s">
        <v>27</v>
      </c>
      <c r="D73" s="2" t="s">
        <v>28</v>
      </c>
      <c r="E73" s="2" t="s">
        <v>19</v>
      </c>
      <c r="F73" s="2" t="s">
        <v>236</v>
      </c>
      <c r="G73" s="2" t="s">
        <v>237</v>
      </c>
      <c r="H73" s="2" t="s">
        <v>22</v>
      </c>
      <c r="I73" s="2" t="s">
        <v>238</v>
      </c>
      <c r="J73" s="6">
        <v>2345</v>
      </c>
      <c r="K73" s="26">
        <v>44002</v>
      </c>
      <c r="L73" s="14" t="s">
        <v>70</v>
      </c>
      <c r="M73" s="2" t="s">
        <v>41</v>
      </c>
      <c r="N73" s="2" t="s">
        <v>25</v>
      </c>
      <c r="O73" s="11">
        <v>1E-3</v>
      </c>
      <c r="P73" s="7"/>
    </row>
    <row r="74" spans="1:16" ht="26">
      <c r="A74" s="1" t="s">
        <v>235</v>
      </c>
      <c r="B74" s="10" t="s">
        <v>64</v>
      </c>
      <c r="C74" s="2" t="s">
        <v>27</v>
      </c>
      <c r="D74" s="2" t="s">
        <v>28</v>
      </c>
      <c r="E74" s="2" t="s">
        <v>19</v>
      </c>
      <c r="F74" s="2" t="s">
        <v>239</v>
      </c>
      <c r="G74" s="2" t="s">
        <v>240</v>
      </c>
      <c r="H74" s="2" t="s">
        <v>22</v>
      </c>
      <c r="I74" s="2" t="s">
        <v>238</v>
      </c>
      <c r="J74" s="6">
        <v>1979</v>
      </c>
      <c r="K74" s="26">
        <v>43636</v>
      </c>
      <c r="L74" s="14" t="s">
        <v>70</v>
      </c>
      <c r="M74" s="2" t="s">
        <v>49</v>
      </c>
      <c r="N74" s="2" t="s">
        <v>25</v>
      </c>
      <c r="O74" s="11">
        <v>1E-3</v>
      </c>
      <c r="P74" s="7"/>
    </row>
    <row r="75" spans="1:16">
      <c r="A75" s="1" t="s">
        <v>241</v>
      </c>
      <c r="B75" s="10" t="s">
        <v>16</v>
      </c>
      <c r="C75" s="2" t="s">
        <v>17</v>
      </c>
      <c r="D75" s="2" t="s">
        <v>37</v>
      </c>
      <c r="E75" s="2" t="s">
        <v>19</v>
      </c>
      <c r="F75" s="2" t="s">
        <v>242</v>
      </c>
      <c r="G75" s="2" t="s">
        <v>243</v>
      </c>
      <c r="H75" s="2" t="s">
        <v>22</v>
      </c>
      <c r="I75" s="2" t="s">
        <v>244</v>
      </c>
      <c r="J75" s="6">
        <v>2345</v>
      </c>
      <c r="K75" s="26">
        <v>44002</v>
      </c>
      <c r="L75" s="14"/>
      <c r="M75" s="2" t="s">
        <v>49</v>
      </c>
      <c r="N75" s="2" t="s">
        <v>25</v>
      </c>
      <c r="O75" s="11">
        <v>1E-3</v>
      </c>
      <c r="P75" s="7">
        <v>0.05</v>
      </c>
    </row>
    <row r="76" spans="1:16">
      <c r="A76" s="1" t="s">
        <v>241</v>
      </c>
      <c r="B76" s="10" t="s">
        <v>16</v>
      </c>
      <c r="C76" s="2" t="s">
        <v>17</v>
      </c>
      <c r="D76" s="2" t="s">
        <v>37</v>
      </c>
      <c r="E76" s="2" t="s">
        <v>19</v>
      </c>
      <c r="F76" s="2" t="s">
        <v>84</v>
      </c>
      <c r="G76" s="2" t="s">
        <v>245</v>
      </c>
      <c r="H76" s="2" t="s">
        <v>22</v>
      </c>
      <c r="I76" s="2" t="s">
        <v>244</v>
      </c>
      <c r="J76" s="6">
        <v>1979</v>
      </c>
      <c r="K76" s="26">
        <v>43636</v>
      </c>
      <c r="L76" s="14"/>
      <c r="M76" s="2" t="s">
        <v>44</v>
      </c>
      <c r="N76" s="2" t="s">
        <v>25</v>
      </c>
      <c r="O76" s="11">
        <v>1E-3</v>
      </c>
      <c r="P76" s="7">
        <v>0.05</v>
      </c>
    </row>
    <row r="77" spans="1:16" ht="26">
      <c r="A77" s="1" t="s">
        <v>246</v>
      </c>
      <c r="B77" s="10" t="s">
        <v>64</v>
      </c>
      <c r="C77" s="2" t="s">
        <v>17</v>
      </c>
      <c r="D77" s="2" t="s">
        <v>28</v>
      </c>
      <c r="E77" s="2" t="s">
        <v>19</v>
      </c>
      <c r="F77" s="2" t="s">
        <v>57</v>
      </c>
      <c r="G77" s="2" t="s">
        <v>247</v>
      </c>
      <c r="H77" s="2" t="s">
        <v>22</v>
      </c>
      <c r="I77" s="2" t="s">
        <v>248</v>
      </c>
      <c r="J77" s="6">
        <v>1979</v>
      </c>
      <c r="K77" s="26">
        <v>43636</v>
      </c>
      <c r="L77" s="14" t="s">
        <v>70</v>
      </c>
      <c r="M77" s="2" t="s">
        <v>24</v>
      </c>
      <c r="N77" s="2" t="s">
        <v>25</v>
      </c>
      <c r="O77" s="11">
        <v>1E-3</v>
      </c>
      <c r="P77" s="7"/>
    </row>
    <row r="78" spans="1:16" ht="26">
      <c r="A78" s="1" t="s">
        <v>246</v>
      </c>
      <c r="B78" s="10" t="s">
        <v>64</v>
      </c>
      <c r="C78" s="2" t="s">
        <v>17</v>
      </c>
      <c r="D78" s="2" t="s">
        <v>28</v>
      </c>
      <c r="E78" s="2" t="s">
        <v>19</v>
      </c>
      <c r="F78" s="2" t="s">
        <v>124</v>
      </c>
      <c r="G78" s="2" t="s">
        <v>249</v>
      </c>
      <c r="H78" s="2" t="s">
        <v>22</v>
      </c>
      <c r="I78" s="2" t="s">
        <v>248</v>
      </c>
      <c r="J78" s="6">
        <v>2345</v>
      </c>
      <c r="K78" s="26">
        <v>44002</v>
      </c>
      <c r="L78" s="14" t="s">
        <v>70</v>
      </c>
      <c r="M78" s="2" t="s">
        <v>41</v>
      </c>
      <c r="N78" s="2" t="s">
        <v>25</v>
      </c>
      <c r="O78" s="11">
        <v>0</v>
      </c>
      <c r="P78" s="7"/>
    </row>
    <row r="79" spans="1:16">
      <c r="A79" s="1" t="s">
        <v>250</v>
      </c>
      <c r="B79" s="10" t="s">
        <v>16</v>
      </c>
      <c r="C79" s="2" t="s">
        <v>27</v>
      </c>
      <c r="D79" s="2" t="s">
        <v>72</v>
      </c>
      <c r="E79" s="2" t="s">
        <v>19</v>
      </c>
      <c r="F79" s="2" t="s">
        <v>251</v>
      </c>
      <c r="G79" s="2" t="s">
        <v>252</v>
      </c>
      <c r="H79" s="2" t="s">
        <v>22</v>
      </c>
      <c r="I79" s="2" t="s">
        <v>253</v>
      </c>
      <c r="J79" s="6">
        <v>1979</v>
      </c>
      <c r="K79" s="26">
        <v>43636</v>
      </c>
      <c r="L79" s="14"/>
      <c r="M79" s="2" t="s">
        <v>44</v>
      </c>
      <c r="N79" s="2" t="s">
        <v>25</v>
      </c>
      <c r="O79" s="11">
        <v>1E-3</v>
      </c>
      <c r="P79" s="7">
        <v>0.05</v>
      </c>
    </row>
    <row r="80" spans="1:16">
      <c r="A80" s="1" t="s">
        <v>250</v>
      </c>
      <c r="B80" s="10" t="s">
        <v>16</v>
      </c>
      <c r="C80" s="2" t="s">
        <v>27</v>
      </c>
      <c r="D80" s="2" t="s">
        <v>72</v>
      </c>
      <c r="E80" s="2" t="s">
        <v>19</v>
      </c>
      <c r="F80" s="2" t="s">
        <v>254</v>
      </c>
      <c r="G80" s="2" t="s">
        <v>255</v>
      </c>
      <c r="H80" s="2" t="s">
        <v>22</v>
      </c>
      <c r="I80" s="2" t="s">
        <v>253</v>
      </c>
      <c r="J80" s="6">
        <v>2345</v>
      </c>
      <c r="K80" s="26">
        <v>44002</v>
      </c>
      <c r="L80" s="14"/>
      <c r="M80" s="2" t="s">
        <v>49</v>
      </c>
      <c r="N80" s="2" t="s">
        <v>25</v>
      </c>
      <c r="O80" s="11">
        <v>1E-3</v>
      </c>
      <c r="P80" s="7">
        <v>0.05</v>
      </c>
    </row>
    <row r="81" spans="1:16">
      <c r="A81" s="1" t="s">
        <v>250</v>
      </c>
      <c r="B81" s="10" t="s">
        <v>16</v>
      </c>
      <c r="C81" s="2" t="s">
        <v>27</v>
      </c>
      <c r="D81" s="2" t="s">
        <v>72</v>
      </c>
      <c r="E81" s="2" t="s">
        <v>19</v>
      </c>
      <c r="F81" s="2" t="s">
        <v>30</v>
      </c>
      <c r="G81" s="2" t="s">
        <v>256</v>
      </c>
      <c r="H81" s="2" t="s">
        <v>22</v>
      </c>
      <c r="I81" s="2" t="s">
        <v>253</v>
      </c>
      <c r="J81" s="6">
        <v>1795</v>
      </c>
      <c r="K81" s="26">
        <v>43452</v>
      </c>
      <c r="L81" s="14"/>
      <c r="M81" s="2" t="s">
        <v>44</v>
      </c>
      <c r="N81" s="2" t="s">
        <v>25</v>
      </c>
      <c r="O81" s="11">
        <v>1E-3</v>
      </c>
      <c r="P81" s="7">
        <v>0.05</v>
      </c>
    </row>
    <row r="82" spans="1:16" ht="26">
      <c r="A82" s="1" t="s">
        <v>257</v>
      </c>
      <c r="B82" s="10" t="s">
        <v>64</v>
      </c>
      <c r="C82" s="2" t="s">
        <v>17</v>
      </c>
      <c r="D82" s="2" t="s">
        <v>72</v>
      </c>
      <c r="E82" s="2" t="s">
        <v>19</v>
      </c>
      <c r="F82" s="2" t="s">
        <v>258</v>
      </c>
      <c r="G82" s="2" t="s">
        <v>259</v>
      </c>
      <c r="H82" s="2" t="s">
        <v>22</v>
      </c>
      <c r="I82" s="2" t="s">
        <v>260</v>
      </c>
      <c r="J82" s="6">
        <v>1674</v>
      </c>
      <c r="K82" s="26">
        <v>43331</v>
      </c>
      <c r="L82" s="14" t="s">
        <v>70</v>
      </c>
      <c r="M82" s="2" t="s">
        <v>44</v>
      </c>
      <c r="N82" s="2" t="s">
        <v>25</v>
      </c>
      <c r="O82" s="11">
        <v>1E-3</v>
      </c>
      <c r="P82" s="7"/>
    </row>
    <row r="83" spans="1:16">
      <c r="A83" s="1" t="s">
        <v>45</v>
      </c>
      <c r="B83" s="10" t="s">
        <v>16</v>
      </c>
      <c r="C83" s="2" t="s">
        <v>17</v>
      </c>
      <c r="D83" s="2" t="s">
        <v>37</v>
      </c>
      <c r="E83" s="2" t="s">
        <v>19</v>
      </c>
      <c r="F83" s="2" t="s">
        <v>261</v>
      </c>
      <c r="G83" s="2" t="s">
        <v>262</v>
      </c>
      <c r="H83" s="2" t="s">
        <v>22</v>
      </c>
      <c r="I83" s="2" t="s">
        <v>48</v>
      </c>
      <c r="J83" s="6">
        <v>884</v>
      </c>
      <c r="K83" s="26">
        <v>42541</v>
      </c>
      <c r="L83" s="14"/>
      <c r="M83" s="2" t="s">
        <v>41</v>
      </c>
      <c r="N83" s="2" t="s">
        <v>25</v>
      </c>
      <c r="O83" s="11">
        <v>1E-3</v>
      </c>
      <c r="P83" s="7">
        <v>0.05</v>
      </c>
    </row>
    <row r="84" spans="1:16" ht="26">
      <c r="A84" s="1" t="s">
        <v>263</v>
      </c>
      <c r="B84" s="10" t="s">
        <v>64</v>
      </c>
      <c r="C84" s="2" t="s">
        <v>65</v>
      </c>
      <c r="D84" s="2" t="s">
        <v>72</v>
      </c>
      <c r="E84" s="2" t="s">
        <v>29</v>
      </c>
      <c r="F84" s="2" t="s">
        <v>96</v>
      </c>
      <c r="G84" s="2" t="s">
        <v>264</v>
      </c>
      <c r="H84" s="2" t="s">
        <v>32</v>
      </c>
      <c r="I84" s="2" t="s">
        <v>265</v>
      </c>
      <c r="J84" s="6">
        <v>1313</v>
      </c>
      <c r="K84" s="26">
        <v>42970</v>
      </c>
      <c r="L84" s="14" t="s">
        <v>70</v>
      </c>
      <c r="M84" s="2" t="s">
        <v>24</v>
      </c>
      <c r="N84" s="2" t="s">
        <v>34</v>
      </c>
      <c r="O84" s="11">
        <v>1E-3</v>
      </c>
      <c r="P84" s="7"/>
    </row>
    <row r="85" spans="1:16">
      <c r="A85" s="1" t="s">
        <v>266</v>
      </c>
      <c r="B85" s="10" t="s">
        <v>16</v>
      </c>
      <c r="C85" s="2" t="s">
        <v>93</v>
      </c>
      <c r="D85" s="2">
        <v>1</v>
      </c>
      <c r="E85" s="2" t="s">
        <v>51</v>
      </c>
      <c r="F85" s="2" t="s">
        <v>267</v>
      </c>
      <c r="G85" s="2" t="s">
        <v>268</v>
      </c>
      <c r="H85" s="2" t="s">
        <v>68</v>
      </c>
      <c r="I85" s="2" t="s">
        <v>269</v>
      </c>
      <c r="J85" s="6">
        <v>1</v>
      </c>
      <c r="K85" s="26">
        <v>41658</v>
      </c>
      <c r="L85" s="14"/>
      <c r="M85" s="2" t="s">
        <v>41</v>
      </c>
      <c r="N85" s="2" t="s">
        <v>56</v>
      </c>
      <c r="O85" s="11"/>
      <c r="P85" s="7"/>
    </row>
    <row r="86" spans="1:16">
      <c r="A86" s="1" t="s">
        <v>270</v>
      </c>
      <c r="B86" s="10" t="s">
        <v>16</v>
      </c>
      <c r="C86" s="2" t="s">
        <v>65</v>
      </c>
      <c r="D86" s="2">
        <v>1</v>
      </c>
      <c r="E86" s="2" t="s">
        <v>19</v>
      </c>
      <c r="F86" s="2" t="s">
        <v>124</v>
      </c>
      <c r="G86" s="2" t="s">
        <v>271</v>
      </c>
      <c r="H86" s="2" t="s">
        <v>272</v>
      </c>
      <c r="I86" s="2" t="s">
        <v>273</v>
      </c>
      <c r="J86" s="6">
        <v>300</v>
      </c>
      <c r="K86" s="26">
        <v>41957</v>
      </c>
      <c r="L86" s="14"/>
      <c r="M86" s="2" t="s">
        <v>24</v>
      </c>
      <c r="N86" s="2" t="s">
        <v>25</v>
      </c>
      <c r="O86" s="11">
        <v>1E-3</v>
      </c>
      <c r="P86" s="7">
        <v>0.05</v>
      </c>
    </row>
    <row r="87" spans="1:16">
      <c r="A87" s="1" t="s">
        <v>270</v>
      </c>
      <c r="B87" s="10" t="s">
        <v>16</v>
      </c>
      <c r="C87" s="2" t="s">
        <v>65</v>
      </c>
      <c r="D87" s="2">
        <v>1</v>
      </c>
      <c r="E87" s="2" t="s">
        <v>19</v>
      </c>
      <c r="F87" s="2" t="s">
        <v>274</v>
      </c>
      <c r="G87" s="2" t="s">
        <v>275</v>
      </c>
      <c r="H87" s="2" t="s">
        <v>272</v>
      </c>
      <c r="I87" s="2" t="s">
        <v>273</v>
      </c>
      <c r="J87" s="6">
        <v>2622</v>
      </c>
      <c r="K87" s="26">
        <v>44279</v>
      </c>
      <c r="L87" s="14"/>
      <c r="M87" s="2" t="s">
        <v>41</v>
      </c>
      <c r="N87" s="2" t="s">
        <v>25</v>
      </c>
      <c r="O87" s="11">
        <v>1E-3</v>
      </c>
      <c r="P87" s="7">
        <v>0.05</v>
      </c>
    </row>
    <row r="88" spans="1:16" ht="26">
      <c r="A88" s="1" t="s">
        <v>276</v>
      </c>
      <c r="B88" s="10" t="s">
        <v>64</v>
      </c>
      <c r="C88" s="2" t="s">
        <v>27</v>
      </c>
      <c r="D88" s="2" t="s">
        <v>37</v>
      </c>
      <c r="E88" s="2" t="s">
        <v>51</v>
      </c>
      <c r="F88" s="2" t="s">
        <v>277</v>
      </c>
      <c r="G88" s="2" t="s">
        <v>278</v>
      </c>
      <c r="H88" s="2" t="s">
        <v>279</v>
      </c>
      <c r="I88" s="2" t="s">
        <v>280</v>
      </c>
      <c r="J88" s="6">
        <v>1979</v>
      </c>
      <c r="K88" s="26">
        <v>43636</v>
      </c>
      <c r="L88" s="14" t="s">
        <v>70</v>
      </c>
      <c r="M88" s="2" t="s">
        <v>24</v>
      </c>
      <c r="N88" s="2" t="s">
        <v>56</v>
      </c>
      <c r="O88" s="11">
        <v>1E-3</v>
      </c>
      <c r="P88" s="7"/>
    </row>
    <row r="89" spans="1:16" ht="26">
      <c r="A89" s="1" t="s">
        <v>281</v>
      </c>
      <c r="B89" s="10" t="s">
        <v>64</v>
      </c>
      <c r="C89" s="2" t="s">
        <v>17</v>
      </c>
      <c r="D89" s="2" t="s">
        <v>72</v>
      </c>
      <c r="E89" s="2" t="s">
        <v>19</v>
      </c>
      <c r="F89" s="2" t="s">
        <v>232</v>
      </c>
      <c r="G89" s="2" t="s">
        <v>282</v>
      </c>
      <c r="H89" s="2" t="s">
        <v>22</v>
      </c>
      <c r="I89" s="2" t="s">
        <v>283</v>
      </c>
      <c r="J89" s="6">
        <v>237</v>
      </c>
      <c r="K89" s="26">
        <v>41894</v>
      </c>
      <c r="L89" s="14" t="s">
        <v>70</v>
      </c>
      <c r="M89" s="2" t="s">
        <v>24</v>
      </c>
      <c r="N89" s="2" t="s">
        <v>25</v>
      </c>
      <c r="O89" s="11"/>
      <c r="P89" s="7"/>
    </row>
    <row r="90" spans="1:16" ht="26">
      <c r="A90" s="1" t="s">
        <v>281</v>
      </c>
      <c r="B90" s="10" t="s">
        <v>64</v>
      </c>
      <c r="C90" s="2" t="s">
        <v>17</v>
      </c>
      <c r="D90" s="2" t="s">
        <v>72</v>
      </c>
      <c r="E90" s="2" t="s">
        <v>19</v>
      </c>
      <c r="F90" s="2" t="s">
        <v>284</v>
      </c>
      <c r="G90" s="2" t="s">
        <v>285</v>
      </c>
      <c r="H90" s="2" t="s">
        <v>22</v>
      </c>
      <c r="I90" s="2" t="s">
        <v>283</v>
      </c>
      <c r="J90" s="6">
        <v>237</v>
      </c>
      <c r="K90" s="26">
        <v>41894</v>
      </c>
      <c r="L90" s="14" t="s">
        <v>70</v>
      </c>
      <c r="M90" s="2" t="s">
        <v>41</v>
      </c>
      <c r="N90" s="2" t="s">
        <v>25</v>
      </c>
      <c r="O90" s="11"/>
      <c r="P90" s="7"/>
    </row>
    <row r="91" spans="1:16" ht="26">
      <c r="A91" s="1" t="s">
        <v>231</v>
      </c>
      <c r="B91" s="10" t="s">
        <v>64</v>
      </c>
      <c r="C91" s="2" t="s">
        <v>17</v>
      </c>
      <c r="D91" s="2" t="s">
        <v>72</v>
      </c>
      <c r="E91" s="2" t="s">
        <v>19</v>
      </c>
      <c r="F91" s="2" t="s">
        <v>286</v>
      </c>
      <c r="G91" s="2" t="s">
        <v>287</v>
      </c>
      <c r="H91" s="2" t="s">
        <v>22</v>
      </c>
      <c r="I91" s="2" t="s">
        <v>234</v>
      </c>
      <c r="J91" s="6">
        <v>916</v>
      </c>
      <c r="K91" s="26">
        <v>42573</v>
      </c>
      <c r="L91" s="14" t="s">
        <v>70</v>
      </c>
      <c r="M91" s="2" t="s">
        <v>49</v>
      </c>
      <c r="N91" s="2" t="s">
        <v>25</v>
      </c>
      <c r="O91" s="11"/>
      <c r="P91" s="7"/>
    </row>
    <row r="92" spans="1:16">
      <c r="A92" s="1" t="s">
        <v>140</v>
      </c>
      <c r="B92" s="10" t="s">
        <v>16</v>
      </c>
      <c r="C92" s="2" t="s">
        <v>27</v>
      </c>
      <c r="D92" s="2" t="s">
        <v>72</v>
      </c>
      <c r="E92" s="2" t="s">
        <v>19</v>
      </c>
      <c r="F92" s="2" t="s">
        <v>288</v>
      </c>
      <c r="G92" s="2" t="s">
        <v>289</v>
      </c>
      <c r="H92" s="2" t="s">
        <v>22</v>
      </c>
      <c r="I92" s="2" t="s">
        <v>142</v>
      </c>
      <c r="J92" s="6">
        <v>542</v>
      </c>
      <c r="K92" s="26">
        <v>42199</v>
      </c>
      <c r="L92" s="14"/>
      <c r="M92" s="2" t="s">
        <v>41</v>
      </c>
      <c r="N92" s="2" t="s">
        <v>25</v>
      </c>
      <c r="O92" s="11">
        <v>1E-3</v>
      </c>
      <c r="P92" s="7">
        <v>0.05</v>
      </c>
    </row>
    <row r="93" spans="1:16">
      <c r="A93" s="1" t="s">
        <v>140</v>
      </c>
      <c r="B93" s="10" t="s">
        <v>16</v>
      </c>
      <c r="C93" s="2" t="s">
        <v>27</v>
      </c>
      <c r="D93" s="2" t="s">
        <v>72</v>
      </c>
      <c r="E93" s="2" t="s">
        <v>19</v>
      </c>
      <c r="F93" s="2" t="s">
        <v>288</v>
      </c>
      <c r="G93" s="2" t="s">
        <v>290</v>
      </c>
      <c r="H93" s="2" t="s">
        <v>22</v>
      </c>
      <c r="I93" s="2" t="s">
        <v>142</v>
      </c>
      <c r="J93" s="6">
        <v>542</v>
      </c>
      <c r="K93" s="26">
        <v>42199</v>
      </c>
      <c r="L93" s="14"/>
      <c r="M93" s="2" t="s">
        <v>44</v>
      </c>
      <c r="N93" s="2" t="s">
        <v>25</v>
      </c>
      <c r="O93" s="11">
        <v>1E-3</v>
      </c>
      <c r="P93" s="7">
        <v>0.05</v>
      </c>
    </row>
    <row r="94" spans="1:16">
      <c r="A94" s="1" t="s">
        <v>291</v>
      </c>
      <c r="B94" s="10" t="s">
        <v>16</v>
      </c>
      <c r="C94" s="2" t="s">
        <v>93</v>
      </c>
      <c r="D94" s="2" t="s">
        <v>61</v>
      </c>
      <c r="E94" s="2" t="s">
        <v>51</v>
      </c>
      <c r="F94" s="2" t="s">
        <v>292</v>
      </c>
      <c r="G94" s="2" t="s">
        <v>293</v>
      </c>
      <c r="H94" s="2" t="s">
        <v>294</v>
      </c>
      <c r="I94" s="2" t="s">
        <v>295</v>
      </c>
      <c r="J94" s="6">
        <v>1</v>
      </c>
      <c r="K94" s="26">
        <v>41658</v>
      </c>
      <c r="L94" s="14"/>
      <c r="M94" s="2" t="s">
        <v>41</v>
      </c>
      <c r="N94" s="2" t="s">
        <v>56</v>
      </c>
      <c r="O94" s="11">
        <v>1E-3</v>
      </c>
      <c r="P94" s="7">
        <v>0.05</v>
      </c>
    </row>
    <row r="95" spans="1:16" ht="26">
      <c r="A95" s="1" t="s">
        <v>180</v>
      </c>
      <c r="B95" s="10" t="s">
        <v>64</v>
      </c>
      <c r="C95" s="2" t="s">
        <v>27</v>
      </c>
      <c r="D95" s="2" t="s">
        <v>28</v>
      </c>
      <c r="E95" s="2" t="s">
        <v>19</v>
      </c>
      <c r="F95" s="2" t="s">
        <v>296</v>
      </c>
      <c r="G95" s="2" t="s">
        <v>297</v>
      </c>
      <c r="H95" s="2" t="s">
        <v>22</v>
      </c>
      <c r="I95" s="2" t="s">
        <v>183</v>
      </c>
      <c r="J95" s="6">
        <v>516</v>
      </c>
      <c r="K95" s="26">
        <v>42173</v>
      </c>
      <c r="L95" s="14" t="s">
        <v>70</v>
      </c>
      <c r="M95" s="2" t="s">
        <v>44</v>
      </c>
      <c r="N95" s="2" t="s">
        <v>25</v>
      </c>
      <c r="O95" s="11"/>
      <c r="P95" s="7"/>
    </row>
    <row r="96" spans="1:16" ht="26">
      <c r="A96" s="1" t="s">
        <v>180</v>
      </c>
      <c r="B96" s="10" t="s">
        <v>64</v>
      </c>
      <c r="C96" s="2" t="s">
        <v>27</v>
      </c>
      <c r="D96" s="2" t="s">
        <v>28</v>
      </c>
      <c r="E96" s="2" t="s">
        <v>19</v>
      </c>
      <c r="F96" s="2" t="s">
        <v>87</v>
      </c>
      <c r="G96" s="2" t="s">
        <v>298</v>
      </c>
      <c r="H96" s="2" t="s">
        <v>22</v>
      </c>
      <c r="I96" s="2" t="s">
        <v>183</v>
      </c>
      <c r="J96" s="6">
        <v>153</v>
      </c>
      <c r="K96" s="26">
        <v>41810</v>
      </c>
      <c r="L96" s="14" t="s">
        <v>70</v>
      </c>
      <c r="M96" s="2" t="s">
        <v>49</v>
      </c>
      <c r="N96" s="2" t="s">
        <v>25</v>
      </c>
      <c r="O96" s="11"/>
      <c r="P96" s="7"/>
    </row>
    <row r="97" spans="1:16" ht="26">
      <c r="A97" s="1" t="s">
        <v>299</v>
      </c>
      <c r="B97" s="10" t="s">
        <v>64</v>
      </c>
      <c r="C97" s="2" t="s">
        <v>17</v>
      </c>
      <c r="D97" s="2" t="s">
        <v>72</v>
      </c>
      <c r="E97" s="2" t="s">
        <v>19</v>
      </c>
      <c r="F97" s="2" t="s">
        <v>87</v>
      </c>
      <c r="G97" s="2" t="s">
        <v>300</v>
      </c>
      <c r="H97" s="2" t="s">
        <v>22</v>
      </c>
      <c r="I97" s="2" t="s">
        <v>301</v>
      </c>
      <c r="J97" s="6">
        <v>180</v>
      </c>
      <c r="K97" s="26">
        <v>41837</v>
      </c>
      <c r="L97" s="14" t="s">
        <v>70</v>
      </c>
      <c r="M97" s="2" t="s">
        <v>44</v>
      </c>
      <c r="N97" s="2" t="s">
        <v>25</v>
      </c>
      <c r="O97" s="11"/>
      <c r="P97" s="7"/>
    </row>
    <row r="98" spans="1:16" ht="26">
      <c r="A98" s="1" t="s">
        <v>299</v>
      </c>
      <c r="B98" s="10" t="s">
        <v>64</v>
      </c>
      <c r="C98" s="2" t="s">
        <v>17</v>
      </c>
      <c r="D98" s="2" t="s">
        <v>72</v>
      </c>
      <c r="E98" s="2" t="s">
        <v>19</v>
      </c>
      <c r="F98" s="2" t="s">
        <v>160</v>
      </c>
      <c r="G98" s="2" t="s">
        <v>302</v>
      </c>
      <c r="H98" s="2" t="s">
        <v>22</v>
      </c>
      <c r="I98" s="2" t="s">
        <v>301</v>
      </c>
      <c r="J98" s="6">
        <v>545</v>
      </c>
      <c r="K98" s="26">
        <v>42202</v>
      </c>
      <c r="L98" s="14" t="s">
        <v>70</v>
      </c>
      <c r="M98" s="2" t="s">
        <v>49</v>
      </c>
      <c r="N98" s="2" t="s">
        <v>25</v>
      </c>
      <c r="O98" s="11"/>
      <c r="P98" s="7"/>
    </row>
    <row r="99" spans="1:16" ht="26">
      <c r="A99" s="1" t="s">
        <v>303</v>
      </c>
      <c r="B99" s="10" t="s">
        <v>64</v>
      </c>
      <c r="C99" s="2" t="s">
        <v>27</v>
      </c>
      <c r="D99" s="2" t="s">
        <v>28</v>
      </c>
      <c r="E99" s="2" t="s">
        <v>19</v>
      </c>
      <c r="F99" s="2" t="s">
        <v>304</v>
      </c>
      <c r="G99" s="2" t="s">
        <v>305</v>
      </c>
      <c r="H99" s="2" t="s">
        <v>22</v>
      </c>
      <c r="I99" s="2" t="s">
        <v>306</v>
      </c>
      <c r="J99" s="6">
        <v>550</v>
      </c>
      <c r="K99" s="26">
        <v>42207</v>
      </c>
      <c r="L99" s="14" t="s">
        <v>70</v>
      </c>
      <c r="M99" s="2" t="s">
        <v>44</v>
      </c>
      <c r="N99" s="2" t="s">
        <v>25</v>
      </c>
      <c r="O99" s="11"/>
      <c r="P99" s="7"/>
    </row>
    <row r="100" spans="1:16" ht="26">
      <c r="A100" s="1" t="s">
        <v>303</v>
      </c>
      <c r="B100" s="10" t="s">
        <v>64</v>
      </c>
      <c r="C100" s="2" t="s">
        <v>27</v>
      </c>
      <c r="D100" s="2" t="s">
        <v>28</v>
      </c>
      <c r="E100" s="2" t="s">
        <v>19</v>
      </c>
      <c r="F100" s="2" t="s">
        <v>307</v>
      </c>
      <c r="G100" s="2" t="s">
        <v>308</v>
      </c>
      <c r="H100" s="2" t="s">
        <v>22</v>
      </c>
      <c r="I100" s="2" t="s">
        <v>306</v>
      </c>
      <c r="J100" s="6">
        <v>550</v>
      </c>
      <c r="K100" s="26">
        <v>42207</v>
      </c>
      <c r="L100" s="14" t="s">
        <v>70</v>
      </c>
      <c r="M100" s="2" t="s">
        <v>49</v>
      </c>
      <c r="N100" s="2" t="s">
        <v>25</v>
      </c>
      <c r="O100" s="11"/>
      <c r="P100" s="7"/>
    </row>
    <row r="101" spans="1:16" ht="26">
      <c r="A101" s="1" t="s">
        <v>246</v>
      </c>
      <c r="B101" s="10" t="s">
        <v>64</v>
      </c>
      <c r="C101" s="2" t="s">
        <v>17</v>
      </c>
      <c r="D101" s="2" t="s">
        <v>28</v>
      </c>
      <c r="E101" s="2" t="s">
        <v>19</v>
      </c>
      <c r="F101" s="2" t="s">
        <v>201</v>
      </c>
      <c r="G101" s="2" t="s">
        <v>309</v>
      </c>
      <c r="H101" s="2" t="s">
        <v>22</v>
      </c>
      <c r="I101" s="2" t="s">
        <v>248</v>
      </c>
      <c r="J101" s="6">
        <v>312</v>
      </c>
      <c r="K101" s="26">
        <v>41969</v>
      </c>
      <c r="L101" s="14" t="s">
        <v>70</v>
      </c>
      <c r="M101" s="2" t="s">
        <v>49</v>
      </c>
      <c r="N101" s="2" t="s">
        <v>25</v>
      </c>
      <c r="O101" s="11">
        <v>0</v>
      </c>
      <c r="P101" s="7"/>
    </row>
    <row r="102" spans="1:16" ht="26">
      <c r="A102" s="1" t="s">
        <v>246</v>
      </c>
      <c r="B102" s="10" t="s">
        <v>64</v>
      </c>
      <c r="C102" s="2" t="s">
        <v>17</v>
      </c>
      <c r="D102" s="2" t="s">
        <v>28</v>
      </c>
      <c r="E102" s="2" t="s">
        <v>19</v>
      </c>
      <c r="F102" s="2" t="s">
        <v>124</v>
      </c>
      <c r="G102" s="2" t="s">
        <v>310</v>
      </c>
      <c r="H102" s="2" t="s">
        <v>22</v>
      </c>
      <c r="I102" s="2" t="s">
        <v>248</v>
      </c>
      <c r="J102" s="6">
        <v>678</v>
      </c>
      <c r="K102" s="26">
        <v>42335</v>
      </c>
      <c r="L102" s="14" t="s">
        <v>70</v>
      </c>
      <c r="M102" s="2" t="s">
        <v>44</v>
      </c>
      <c r="N102" s="2" t="s">
        <v>25</v>
      </c>
      <c r="O102" s="11">
        <v>1E-3</v>
      </c>
      <c r="P102" s="7"/>
    </row>
    <row r="103" spans="1:16" ht="26">
      <c r="A103" s="1" t="s">
        <v>311</v>
      </c>
      <c r="B103" s="10" t="s">
        <v>64</v>
      </c>
      <c r="C103" s="2" t="s">
        <v>27</v>
      </c>
      <c r="D103" s="2" t="s">
        <v>28</v>
      </c>
      <c r="E103" s="2" t="s">
        <v>19</v>
      </c>
      <c r="F103" s="2" t="s">
        <v>143</v>
      </c>
      <c r="G103" s="2" t="s">
        <v>312</v>
      </c>
      <c r="H103" s="2" t="s">
        <v>22</v>
      </c>
      <c r="I103" s="2" t="s">
        <v>313</v>
      </c>
      <c r="J103" s="6">
        <v>17</v>
      </c>
      <c r="K103" s="26">
        <v>41674</v>
      </c>
      <c r="L103" s="14" t="s">
        <v>70</v>
      </c>
      <c r="M103" s="2" t="s">
        <v>41</v>
      </c>
      <c r="N103" s="2" t="s">
        <v>25</v>
      </c>
      <c r="O103" s="11">
        <v>1E-3</v>
      </c>
      <c r="P103" s="7"/>
    </row>
    <row r="104" spans="1:16" ht="26">
      <c r="A104" s="1" t="s">
        <v>314</v>
      </c>
      <c r="B104" s="10" t="s">
        <v>64</v>
      </c>
      <c r="C104" s="2" t="s">
        <v>27</v>
      </c>
      <c r="D104" s="2" t="s">
        <v>28</v>
      </c>
      <c r="E104" s="2" t="s">
        <v>19</v>
      </c>
      <c r="F104" s="2" t="s">
        <v>315</v>
      </c>
      <c r="G104" s="2" t="s">
        <v>316</v>
      </c>
      <c r="H104" s="2" t="s">
        <v>22</v>
      </c>
      <c r="I104" s="2" t="s">
        <v>317</v>
      </c>
      <c r="J104" s="6">
        <v>153</v>
      </c>
      <c r="K104" s="26">
        <v>41810</v>
      </c>
      <c r="L104" s="14" t="s">
        <v>70</v>
      </c>
      <c r="M104" s="2" t="s">
        <v>49</v>
      </c>
      <c r="N104" s="2" t="s">
        <v>25</v>
      </c>
      <c r="O104" s="11"/>
      <c r="P104" s="7"/>
    </row>
    <row r="105" spans="1:16" ht="26">
      <c r="A105" s="1" t="s">
        <v>318</v>
      </c>
      <c r="B105" s="10" t="s">
        <v>64</v>
      </c>
      <c r="C105" s="2" t="s">
        <v>65</v>
      </c>
      <c r="D105" s="2" t="s">
        <v>37</v>
      </c>
      <c r="E105" s="2" t="s">
        <v>19</v>
      </c>
      <c r="F105" s="2" t="s">
        <v>319</v>
      </c>
      <c r="G105" s="2" t="s">
        <v>320</v>
      </c>
      <c r="H105" s="2" t="s">
        <v>321</v>
      </c>
      <c r="I105" s="2" t="s">
        <v>322</v>
      </c>
      <c r="J105" s="6">
        <v>32</v>
      </c>
      <c r="K105" s="26">
        <v>41689</v>
      </c>
      <c r="L105" s="14" t="s">
        <v>70</v>
      </c>
      <c r="M105" s="2" t="s">
        <v>44</v>
      </c>
      <c r="N105" s="2" t="s">
        <v>25</v>
      </c>
      <c r="O105" s="11">
        <v>1E-3</v>
      </c>
      <c r="P105" s="7"/>
    </row>
    <row r="106" spans="1:16">
      <c r="A106" s="1" t="s">
        <v>323</v>
      </c>
      <c r="B106" s="10" t="s">
        <v>16</v>
      </c>
      <c r="C106" s="2" t="s">
        <v>36</v>
      </c>
      <c r="D106" s="2" t="s">
        <v>28</v>
      </c>
      <c r="E106" s="2" t="s">
        <v>19</v>
      </c>
      <c r="F106" s="2" t="s">
        <v>324</v>
      </c>
      <c r="G106" s="2" t="s">
        <v>325</v>
      </c>
      <c r="H106" s="2" t="s">
        <v>22</v>
      </c>
      <c r="I106" s="2" t="s">
        <v>326</v>
      </c>
      <c r="J106" s="6">
        <v>884</v>
      </c>
      <c r="K106" s="26">
        <v>42541</v>
      </c>
      <c r="L106" s="14"/>
      <c r="M106" s="2" t="s">
        <v>24</v>
      </c>
      <c r="N106" s="2" t="s">
        <v>25</v>
      </c>
      <c r="O106" s="11">
        <v>1E-3</v>
      </c>
      <c r="P106" s="7">
        <v>0.05</v>
      </c>
    </row>
    <row r="107" spans="1:16">
      <c r="A107" s="1" t="s">
        <v>323</v>
      </c>
      <c r="B107" s="10" t="s">
        <v>16</v>
      </c>
      <c r="C107" s="2" t="s">
        <v>327</v>
      </c>
      <c r="D107" s="2" t="s">
        <v>328</v>
      </c>
      <c r="E107" s="2" t="s">
        <v>19</v>
      </c>
      <c r="F107" s="2" t="s">
        <v>284</v>
      </c>
      <c r="G107" s="2" t="s">
        <v>329</v>
      </c>
      <c r="H107" s="2" t="s">
        <v>22</v>
      </c>
      <c r="I107" s="2" t="s">
        <v>326</v>
      </c>
      <c r="J107" s="6">
        <v>1112</v>
      </c>
      <c r="K107" s="26">
        <v>42769</v>
      </c>
      <c r="L107" s="14"/>
      <c r="M107" s="2" t="s">
        <v>41</v>
      </c>
      <c r="N107" s="2" t="s">
        <v>25</v>
      </c>
      <c r="O107" s="11">
        <v>1E-3</v>
      </c>
      <c r="P107" s="7">
        <v>0.05</v>
      </c>
    </row>
    <row r="108" spans="1:16">
      <c r="A108" s="1" t="s">
        <v>323</v>
      </c>
      <c r="B108" s="10" t="s">
        <v>16</v>
      </c>
      <c r="C108" s="2" t="s">
        <v>36</v>
      </c>
      <c r="D108" s="2" t="s">
        <v>28</v>
      </c>
      <c r="E108" s="2" t="s">
        <v>19</v>
      </c>
      <c r="F108" s="2" t="s">
        <v>330</v>
      </c>
      <c r="G108" s="2" t="s">
        <v>331</v>
      </c>
      <c r="H108" s="2" t="s">
        <v>22</v>
      </c>
      <c r="I108" s="2" t="s">
        <v>326</v>
      </c>
      <c r="J108" s="6">
        <v>747</v>
      </c>
      <c r="K108" s="26">
        <v>42404</v>
      </c>
      <c r="L108" s="14"/>
      <c r="M108" s="2" t="s">
        <v>44</v>
      </c>
      <c r="N108" s="2" t="s">
        <v>25</v>
      </c>
      <c r="O108" s="11">
        <v>1E-3</v>
      </c>
      <c r="P108" s="7">
        <v>0.05</v>
      </c>
    </row>
    <row r="109" spans="1:16">
      <c r="A109" s="1" t="s">
        <v>323</v>
      </c>
      <c r="B109" s="10" t="s">
        <v>16</v>
      </c>
      <c r="C109" s="2" t="s">
        <v>36</v>
      </c>
      <c r="D109" s="2" t="s">
        <v>28</v>
      </c>
      <c r="E109" s="2" t="s">
        <v>19</v>
      </c>
      <c r="F109" s="2" t="s">
        <v>332</v>
      </c>
      <c r="G109" s="2" t="s">
        <v>333</v>
      </c>
      <c r="H109" s="2" t="s">
        <v>22</v>
      </c>
      <c r="I109" s="2" t="s">
        <v>326</v>
      </c>
      <c r="J109" s="6">
        <v>16</v>
      </c>
      <c r="K109" s="26">
        <v>41673</v>
      </c>
      <c r="L109" s="14"/>
      <c r="M109" s="2" t="s">
        <v>49</v>
      </c>
      <c r="N109" s="2" t="s">
        <v>25</v>
      </c>
      <c r="O109" s="11">
        <v>1E-3</v>
      </c>
      <c r="P109" s="7">
        <v>0.05</v>
      </c>
    </row>
    <row r="110" spans="1:16">
      <c r="A110" s="1" t="s">
        <v>323</v>
      </c>
      <c r="B110" s="10" t="s">
        <v>16</v>
      </c>
      <c r="C110" s="2" t="s">
        <v>36</v>
      </c>
      <c r="D110" s="2" t="s">
        <v>28</v>
      </c>
      <c r="E110" s="2" t="s">
        <v>19</v>
      </c>
      <c r="F110" s="2" t="s">
        <v>42</v>
      </c>
      <c r="G110" s="2" t="s">
        <v>334</v>
      </c>
      <c r="H110" s="2" t="s">
        <v>22</v>
      </c>
      <c r="I110" s="2" t="s">
        <v>326</v>
      </c>
      <c r="J110" s="6">
        <v>747</v>
      </c>
      <c r="K110" s="26">
        <v>42404</v>
      </c>
      <c r="L110" s="14"/>
      <c r="M110" s="2" t="s">
        <v>44</v>
      </c>
      <c r="N110" s="2" t="s">
        <v>25</v>
      </c>
      <c r="O110" s="11">
        <v>1E-3</v>
      </c>
      <c r="P110" s="7">
        <v>0.05</v>
      </c>
    </row>
    <row r="111" spans="1:16">
      <c r="A111" s="1" t="s">
        <v>250</v>
      </c>
      <c r="B111" s="10" t="s">
        <v>16</v>
      </c>
      <c r="C111" s="2" t="s">
        <v>27</v>
      </c>
      <c r="D111" s="2" t="s">
        <v>72</v>
      </c>
      <c r="E111" s="2" t="s">
        <v>19</v>
      </c>
      <c r="F111" s="2" t="s">
        <v>96</v>
      </c>
      <c r="G111" s="2" t="s">
        <v>335</v>
      </c>
      <c r="H111" s="2" t="s">
        <v>22</v>
      </c>
      <c r="I111" s="2" t="s">
        <v>253</v>
      </c>
      <c r="J111" s="6">
        <v>792</v>
      </c>
      <c r="K111" s="26">
        <v>42449</v>
      </c>
      <c r="L111" s="14"/>
      <c r="M111" s="2" t="s">
        <v>49</v>
      </c>
      <c r="N111" s="2" t="s">
        <v>25</v>
      </c>
      <c r="O111" s="11">
        <v>1E-3</v>
      </c>
      <c r="P111" s="7">
        <v>0.05</v>
      </c>
    </row>
    <row r="112" spans="1:16">
      <c r="A112" s="1" t="s">
        <v>250</v>
      </c>
      <c r="B112" s="10" t="s">
        <v>16</v>
      </c>
      <c r="C112" s="2" t="s">
        <v>27</v>
      </c>
      <c r="D112" s="2" t="s">
        <v>72</v>
      </c>
      <c r="E112" s="2" t="s">
        <v>19</v>
      </c>
      <c r="F112" s="2" t="s">
        <v>103</v>
      </c>
      <c r="G112" s="2" t="s">
        <v>336</v>
      </c>
      <c r="H112" s="2" t="s">
        <v>22</v>
      </c>
      <c r="I112" s="2" t="s">
        <v>253</v>
      </c>
      <c r="J112" s="6">
        <v>792</v>
      </c>
      <c r="K112" s="26">
        <v>42449</v>
      </c>
      <c r="L112" s="14"/>
      <c r="M112" s="2" t="s">
        <v>44</v>
      </c>
      <c r="N112" s="2" t="s">
        <v>25</v>
      </c>
      <c r="O112" s="11">
        <v>1E-3</v>
      </c>
      <c r="P112" s="7">
        <v>0.05</v>
      </c>
    </row>
    <row r="113" spans="1:16">
      <c r="A113" s="1" t="s">
        <v>337</v>
      </c>
      <c r="B113" s="10" t="s">
        <v>16</v>
      </c>
      <c r="C113" s="2" t="s">
        <v>17</v>
      </c>
      <c r="D113" s="2" t="s">
        <v>37</v>
      </c>
      <c r="E113" s="2" t="s">
        <v>19</v>
      </c>
      <c r="F113" s="2" t="s">
        <v>107</v>
      </c>
      <c r="G113" s="2" t="s">
        <v>338</v>
      </c>
      <c r="H113" s="2" t="s">
        <v>22</v>
      </c>
      <c r="I113" s="2" t="s">
        <v>339</v>
      </c>
      <c r="J113" s="6">
        <v>90</v>
      </c>
      <c r="K113" s="26">
        <v>41747</v>
      </c>
      <c r="L113" s="14"/>
      <c r="M113" s="2" t="s">
        <v>24</v>
      </c>
      <c r="N113" s="2" t="s">
        <v>25</v>
      </c>
      <c r="O113" s="11">
        <v>1E-3</v>
      </c>
      <c r="P113" s="7">
        <v>0.05</v>
      </c>
    </row>
    <row r="114" spans="1:16">
      <c r="A114" s="1" t="s">
        <v>337</v>
      </c>
      <c r="B114" s="10" t="s">
        <v>16</v>
      </c>
      <c r="C114" s="2" t="s">
        <v>17</v>
      </c>
      <c r="D114" s="2" t="s">
        <v>37</v>
      </c>
      <c r="E114" s="2" t="s">
        <v>19</v>
      </c>
      <c r="F114" s="2" t="s">
        <v>223</v>
      </c>
      <c r="G114" s="2" t="s">
        <v>340</v>
      </c>
      <c r="H114" s="2" t="s">
        <v>22</v>
      </c>
      <c r="I114" s="2" t="s">
        <v>339</v>
      </c>
      <c r="J114" s="6">
        <v>457</v>
      </c>
      <c r="K114" s="26">
        <v>42114</v>
      </c>
      <c r="L114" s="14"/>
      <c r="M114" s="2" t="s">
        <v>41</v>
      </c>
      <c r="N114" s="2" t="s">
        <v>25</v>
      </c>
      <c r="O114" s="11">
        <v>1E-3</v>
      </c>
      <c r="P114" s="7">
        <v>0.05</v>
      </c>
    </row>
    <row r="115" spans="1:16" ht="26">
      <c r="A115" s="1" t="s">
        <v>235</v>
      </c>
      <c r="B115" s="10" t="s">
        <v>64</v>
      </c>
      <c r="C115" s="2" t="s">
        <v>27</v>
      </c>
      <c r="D115" s="2" t="s">
        <v>72</v>
      </c>
      <c r="E115" s="2" t="s">
        <v>19</v>
      </c>
      <c r="F115" s="2" t="s">
        <v>201</v>
      </c>
      <c r="G115" s="2" t="s">
        <v>341</v>
      </c>
      <c r="H115" s="2" t="s">
        <v>22</v>
      </c>
      <c r="I115" s="2" t="s">
        <v>238</v>
      </c>
      <c r="J115" s="6">
        <v>443</v>
      </c>
      <c r="K115" s="26">
        <v>42100</v>
      </c>
      <c r="L115" s="14" t="s">
        <v>70</v>
      </c>
      <c r="M115" s="2" t="s">
        <v>49</v>
      </c>
      <c r="N115" s="2" t="s">
        <v>25</v>
      </c>
      <c r="O115" s="11">
        <v>1E-3</v>
      </c>
      <c r="P115" s="7"/>
    </row>
    <row r="116" spans="1:16" ht="26">
      <c r="A116" s="1" t="s">
        <v>235</v>
      </c>
      <c r="B116" s="10" t="s">
        <v>64</v>
      </c>
      <c r="C116" s="2" t="s">
        <v>27</v>
      </c>
      <c r="D116" s="2" t="s">
        <v>72</v>
      </c>
      <c r="E116" s="2" t="s">
        <v>19</v>
      </c>
      <c r="F116" s="2" t="s">
        <v>342</v>
      </c>
      <c r="G116" s="2" t="s">
        <v>343</v>
      </c>
      <c r="H116" s="2" t="s">
        <v>22</v>
      </c>
      <c r="I116" s="2" t="s">
        <v>238</v>
      </c>
      <c r="J116" s="6">
        <v>884</v>
      </c>
      <c r="K116" s="26">
        <v>42541</v>
      </c>
      <c r="L116" s="14" t="s">
        <v>70</v>
      </c>
      <c r="M116" s="2" t="s">
        <v>24</v>
      </c>
      <c r="N116" s="2" t="s">
        <v>25</v>
      </c>
      <c r="O116" s="11">
        <v>1E-3</v>
      </c>
      <c r="P116" s="7"/>
    </row>
    <row r="117" spans="1:16" ht="26">
      <c r="A117" s="1" t="s">
        <v>276</v>
      </c>
      <c r="B117" s="10" t="s">
        <v>64</v>
      </c>
      <c r="C117" s="2" t="s">
        <v>27</v>
      </c>
      <c r="D117" s="2" t="s">
        <v>37</v>
      </c>
      <c r="E117" s="2" t="s">
        <v>51</v>
      </c>
      <c r="F117" s="2" t="s">
        <v>344</v>
      </c>
      <c r="G117" s="2" t="s">
        <v>345</v>
      </c>
      <c r="H117" s="2" t="s">
        <v>279</v>
      </c>
      <c r="I117" s="2" t="s">
        <v>280</v>
      </c>
      <c r="J117" s="6">
        <v>569</v>
      </c>
      <c r="K117" s="26">
        <v>42226</v>
      </c>
      <c r="L117" s="14" t="s">
        <v>70</v>
      </c>
      <c r="M117" s="2" t="s">
        <v>44</v>
      </c>
      <c r="N117" s="2" t="s">
        <v>56</v>
      </c>
      <c r="O117" s="11">
        <v>1E-3</v>
      </c>
      <c r="P117" s="7"/>
    </row>
    <row r="118" spans="1:16" ht="26">
      <c r="A118" s="1" t="s">
        <v>276</v>
      </c>
      <c r="B118" s="10" t="s">
        <v>64</v>
      </c>
      <c r="C118" s="2" t="s">
        <v>27</v>
      </c>
      <c r="D118" s="2" t="s">
        <v>37</v>
      </c>
      <c r="E118" s="2" t="s">
        <v>51</v>
      </c>
      <c r="F118" s="2" t="s">
        <v>201</v>
      </c>
      <c r="G118" s="2" t="s">
        <v>346</v>
      </c>
      <c r="H118" s="2" t="s">
        <v>279</v>
      </c>
      <c r="I118" s="2" t="s">
        <v>280</v>
      </c>
      <c r="J118" s="6">
        <v>1</v>
      </c>
      <c r="K118" s="26">
        <v>41658</v>
      </c>
      <c r="L118" s="14" t="s">
        <v>70</v>
      </c>
      <c r="M118" s="2" t="s">
        <v>49</v>
      </c>
      <c r="N118" s="2" t="s">
        <v>56</v>
      </c>
      <c r="O118" s="11">
        <v>1E-3</v>
      </c>
      <c r="P118" s="7"/>
    </row>
    <row r="119" spans="1:16" ht="26">
      <c r="A119" s="1" t="s">
        <v>347</v>
      </c>
      <c r="B119" s="10" t="s">
        <v>64</v>
      </c>
      <c r="C119" s="2" t="s">
        <v>65</v>
      </c>
      <c r="D119" s="2" t="s">
        <v>28</v>
      </c>
      <c r="E119" s="2" t="s">
        <v>200</v>
      </c>
      <c r="F119" s="2" t="s">
        <v>107</v>
      </c>
      <c r="G119" s="2" t="s">
        <v>348</v>
      </c>
      <c r="H119" s="2" t="s">
        <v>203</v>
      </c>
      <c r="I119" s="2" t="s">
        <v>349</v>
      </c>
      <c r="J119" s="6">
        <v>9284</v>
      </c>
      <c r="K119" s="26">
        <v>50941</v>
      </c>
      <c r="L119" s="14" t="s">
        <v>70</v>
      </c>
      <c r="M119" s="2" t="s">
        <v>49</v>
      </c>
      <c r="N119" s="2" t="s">
        <v>205</v>
      </c>
      <c r="O119" s="11"/>
      <c r="P119" s="7"/>
    </row>
    <row r="120" spans="1:16" ht="26">
      <c r="A120" s="1" t="s">
        <v>347</v>
      </c>
      <c r="B120" s="10" t="s">
        <v>64</v>
      </c>
      <c r="C120" s="2" t="s">
        <v>65</v>
      </c>
      <c r="D120" s="2" t="s">
        <v>28</v>
      </c>
      <c r="E120" s="2" t="s">
        <v>200</v>
      </c>
      <c r="F120" s="2" t="s">
        <v>107</v>
      </c>
      <c r="G120" s="2" t="s">
        <v>350</v>
      </c>
      <c r="H120" s="2" t="s">
        <v>203</v>
      </c>
      <c r="I120" s="2" t="s">
        <v>349</v>
      </c>
      <c r="J120" s="6">
        <v>9284</v>
      </c>
      <c r="K120" s="26">
        <v>50941</v>
      </c>
      <c r="L120" s="14" t="s">
        <v>70</v>
      </c>
      <c r="M120" s="2" t="s">
        <v>44</v>
      </c>
      <c r="N120" s="2" t="s">
        <v>205</v>
      </c>
      <c r="O120" s="11"/>
      <c r="P120" s="7"/>
    </row>
    <row r="121" spans="1:16" ht="26">
      <c r="A121" s="1" t="s">
        <v>351</v>
      </c>
      <c r="B121" s="10" t="s">
        <v>64</v>
      </c>
      <c r="C121" s="2" t="s">
        <v>27</v>
      </c>
      <c r="D121" s="2" t="s">
        <v>72</v>
      </c>
      <c r="E121" s="2" t="s">
        <v>19</v>
      </c>
      <c r="F121" s="2" t="s">
        <v>96</v>
      </c>
      <c r="G121" s="2" t="s">
        <v>352</v>
      </c>
      <c r="H121" s="2" t="s">
        <v>22</v>
      </c>
      <c r="I121" s="2" t="s">
        <v>353</v>
      </c>
      <c r="J121" s="6">
        <v>884</v>
      </c>
      <c r="K121" s="26">
        <v>42541</v>
      </c>
      <c r="L121" s="14" t="s">
        <v>70</v>
      </c>
      <c r="M121" s="2" t="s">
        <v>49</v>
      </c>
      <c r="N121" s="2" t="s">
        <v>25</v>
      </c>
      <c r="O121" s="11"/>
      <c r="P121" s="7"/>
    </row>
    <row r="122" spans="1:16" ht="26">
      <c r="A122" s="1" t="s">
        <v>351</v>
      </c>
      <c r="B122" s="10" t="s">
        <v>64</v>
      </c>
      <c r="C122" s="2" t="s">
        <v>27</v>
      </c>
      <c r="D122" s="2" t="s">
        <v>72</v>
      </c>
      <c r="E122" s="2" t="s">
        <v>19</v>
      </c>
      <c r="F122" s="2" t="s">
        <v>354</v>
      </c>
      <c r="G122" s="2" t="s">
        <v>355</v>
      </c>
      <c r="H122" s="2" t="s">
        <v>22</v>
      </c>
      <c r="I122" s="2" t="s">
        <v>353</v>
      </c>
      <c r="J122" s="6">
        <v>1249</v>
      </c>
      <c r="K122" s="26">
        <v>42906</v>
      </c>
      <c r="L122" s="14" t="s">
        <v>70</v>
      </c>
      <c r="M122" s="2" t="s">
        <v>44</v>
      </c>
      <c r="N122" s="2" t="s">
        <v>25</v>
      </c>
      <c r="O122" s="11"/>
      <c r="P122" s="7"/>
    </row>
    <row r="123" spans="1:16" ht="26">
      <c r="A123" s="1" t="s">
        <v>356</v>
      </c>
      <c r="B123" s="10" t="s">
        <v>64</v>
      </c>
      <c r="C123" s="2" t="s">
        <v>36</v>
      </c>
      <c r="D123" s="2" t="s">
        <v>28</v>
      </c>
      <c r="E123" s="2" t="s">
        <v>19</v>
      </c>
      <c r="F123" s="2" t="s">
        <v>130</v>
      </c>
      <c r="G123" s="2" t="s">
        <v>357</v>
      </c>
      <c r="H123" s="2" t="s">
        <v>22</v>
      </c>
      <c r="I123" s="2" t="s">
        <v>358</v>
      </c>
      <c r="J123" s="6">
        <v>1249</v>
      </c>
      <c r="K123" s="26">
        <v>42906</v>
      </c>
      <c r="L123" s="14" t="s">
        <v>70</v>
      </c>
      <c r="M123" s="2" t="s">
        <v>49</v>
      </c>
      <c r="N123" s="2" t="s">
        <v>25</v>
      </c>
      <c r="O123" s="11"/>
      <c r="P123" s="7"/>
    </row>
    <row r="124" spans="1:16" ht="26">
      <c r="A124" s="1" t="s">
        <v>359</v>
      </c>
      <c r="B124" s="10" t="s">
        <v>64</v>
      </c>
      <c r="C124" s="2" t="s">
        <v>27</v>
      </c>
      <c r="D124" s="2" t="s">
        <v>37</v>
      </c>
      <c r="E124" s="2" t="s">
        <v>19</v>
      </c>
      <c r="F124" s="2" t="s">
        <v>201</v>
      </c>
      <c r="G124" s="2" t="s">
        <v>360</v>
      </c>
      <c r="H124" s="2" t="s">
        <v>361</v>
      </c>
      <c r="I124" s="2" t="s">
        <v>362</v>
      </c>
      <c r="J124" s="6">
        <v>5642</v>
      </c>
      <c r="K124" s="26">
        <v>47299</v>
      </c>
      <c r="L124" s="14" t="s">
        <v>70</v>
      </c>
      <c r="M124" s="2" t="s">
        <v>49</v>
      </c>
      <c r="N124" s="2" t="s">
        <v>25</v>
      </c>
      <c r="O124" s="11"/>
      <c r="P124" s="7"/>
    </row>
    <row r="125" spans="1:16" ht="26">
      <c r="A125" s="1" t="s">
        <v>359</v>
      </c>
      <c r="B125" s="10" t="s">
        <v>64</v>
      </c>
      <c r="C125" s="2" t="s">
        <v>27</v>
      </c>
      <c r="D125" s="2" t="s">
        <v>37</v>
      </c>
      <c r="E125" s="2" t="s">
        <v>19</v>
      </c>
      <c r="F125" s="2" t="s">
        <v>201</v>
      </c>
      <c r="G125" s="2" t="s">
        <v>363</v>
      </c>
      <c r="H125" s="2" t="s">
        <v>361</v>
      </c>
      <c r="I125" s="2" t="s">
        <v>362</v>
      </c>
      <c r="J125" s="6">
        <v>5642</v>
      </c>
      <c r="K125" s="26">
        <v>47299</v>
      </c>
      <c r="L125" s="14" t="s">
        <v>70</v>
      </c>
      <c r="M125" s="2" t="s">
        <v>24</v>
      </c>
      <c r="N125" s="2" t="s">
        <v>25</v>
      </c>
      <c r="O125" s="11"/>
      <c r="P125" s="7"/>
    </row>
    <row r="126" spans="1:16">
      <c r="A126" s="1" t="s">
        <v>364</v>
      </c>
      <c r="B126" s="10" t="s">
        <v>16</v>
      </c>
      <c r="C126" s="2" t="s">
        <v>17</v>
      </c>
      <c r="D126" s="2" t="s">
        <v>37</v>
      </c>
      <c r="E126" s="2" t="s">
        <v>19</v>
      </c>
      <c r="F126" s="2" t="s">
        <v>66</v>
      </c>
      <c r="G126" s="2" t="s">
        <v>365</v>
      </c>
      <c r="H126" s="2" t="s">
        <v>22</v>
      </c>
      <c r="I126" s="2" t="s">
        <v>366</v>
      </c>
      <c r="J126" s="6">
        <v>609</v>
      </c>
      <c r="K126" s="26">
        <v>42266</v>
      </c>
      <c r="L126" s="14"/>
      <c r="M126" s="2" t="s">
        <v>44</v>
      </c>
      <c r="N126" s="2" t="s">
        <v>25</v>
      </c>
      <c r="O126" s="11"/>
      <c r="P126" s="7">
        <v>0.03</v>
      </c>
    </row>
    <row r="127" spans="1:16">
      <c r="A127" s="1" t="s">
        <v>364</v>
      </c>
      <c r="B127" s="10" t="s">
        <v>16</v>
      </c>
      <c r="C127" s="2" t="s">
        <v>17</v>
      </c>
      <c r="D127" s="2" t="s">
        <v>37</v>
      </c>
      <c r="E127" s="2" t="s">
        <v>19</v>
      </c>
      <c r="F127" s="2" t="s">
        <v>181</v>
      </c>
      <c r="G127" s="2" t="s">
        <v>367</v>
      </c>
      <c r="H127" s="2" t="s">
        <v>22</v>
      </c>
      <c r="I127" s="2" t="s">
        <v>366</v>
      </c>
      <c r="J127" s="6">
        <v>609</v>
      </c>
      <c r="K127" s="26">
        <v>42266</v>
      </c>
      <c r="L127" s="14"/>
      <c r="M127" s="2" t="s">
        <v>49</v>
      </c>
      <c r="N127" s="2" t="s">
        <v>25</v>
      </c>
      <c r="O127" s="11"/>
      <c r="P127" s="7">
        <v>0.03</v>
      </c>
    </row>
    <row r="128" spans="1:16">
      <c r="A128" s="1" t="s">
        <v>364</v>
      </c>
      <c r="B128" s="10" t="s">
        <v>16</v>
      </c>
      <c r="C128" s="2" t="s">
        <v>17</v>
      </c>
      <c r="D128" s="2" t="s">
        <v>37</v>
      </c>
      <c r="E128" s="2" t="s">
        <v>19</v>
      </c>
      <c r="F128" s="2" t="s">
        <v>181</v>
      </c>
      <c r="G128" s="2" t="s">
        <v>368</v>
      </c>
      <c r="H128" s="2" t="s">
        <v>22</v>
      </c>
      <c r="I128" s="2" t="s">
        <v>366</v>
      </c>
      <c r="J128" s="6">
        <v>609</v>
      </c>
      <c r="K128" s="26">
        <v>42266</v>
      </c>
      <c r="L128" s="14"/>
      <c r="M128" s="2" t="s">
        <v>44</v>
      </c>
      <c r="N128" s="2" t="s">
        <v>25</v>
      </c>
      <c r="O128" s="11"/>
      <c r="P128" s="7">
        <v>0.03</v>
      </c>
    </row>
    <row r="129" spans="1:16">
      <c r="A129" s="1" t="s">
        <v>241</v>
      </c>
      <c r="B129" s="10" t="s">
        <v>16</v>
      </c>
      <c r="C129" s="2" t="s">
        <v>17</v>
      </c>
      <c r="D129" s="2" t="s">
        <v>28</v>
      </c>
      <c r="E129" s="2" t="s">
        <v>19</v>
      </c>
      <c r="F129" s="2" t="s">
        <v>84</v>
      </c>
      <c r="G129" s="2" t="s">
        <v>369</v>
      </c>
      <c r="H129" s="2" t="s">
        <v>22</v>
      </c>
      <c r="I129" s="2" t="s">
        <v>244</v>
      </c>
      <c r="J129" s="6">
        <v>243</v>
      </c>
      <c r="K129" s="26">
        <v>41900</v>
      </c>
      <c r="L129" s="14"/>
      <c r="M129" s="2" t="s">
        <v>24</v>
      </c>
      <c r="N129" s="2" t="s">
        <v>25</v>
      </c>
      <c r="O129" s="11">
        <v>1E-3</v>
      </c>
      <c r="P129" s="7">
        <v>0.05</v>
      </c>
    </row>
    <row r="130" spans="1:16">
      <c r="A130" s="1" t="s">
        <v>241</v>
      </c>
      <c r="B130" s="10" t="s">
        <v>16</v>
      </c>
      <c r="C130" s="2" t="s">
        <v>17</v>
      </c>
      <c r="D130" s="2" t="s">
        <v>28</v>
      </c>
      <c r="E130" s="2" t="s">
        <v>19</v>
      </c>
      <c r="F130" s="2" t="s">
        <v>370</v>
      </c>
      <c r="G130" s="2" t="s">
        <v>371</v>
      </c>
      <c r="H130" s="2" t="s">
        <v>22</v>
      </c>
      <c r="I130" s="2" t="s">
        <v>244</v>
      </c>
      <c r="J130" s="6">
        <v>609</v>
      </c>
      <c r="K130" s="26">
        <v>42266</v>
      </c>
      <c r="L130" s="14"/>
      <c r="M130" s="2" t="s">
        <v>41</v>
      </c>
      <c r="N130" s="2" t="s">
        <v>25</v>
      </c>
      <c r="O130" s="11">
        <v>1E-3</v>
      </c>
      <c r="P130" s="7">
        <v>0.05</v>
      </c>
    </row>
    <row r="131" spans="1:16">
      <c r="A131" s="1" t="s">
        <v>241</v>
      </c>
      <c r="B131" s="10" t="s">
        <v>16</v>
      </c>
      <c r="C131" s="2" t="s">
        <v>36</v>
      </c>
      <c r="D131" s="2" t="s">
        <v>328</v>
      </c>
      <c r="E131" s="2" t="s">
        <v>19</v>
      </c>
      <c r="F131" s="2" t="s">
        <v>372</v>
      </c>
      <c r="G131" s="2" t="s">
        <v>373</v>
      </c>
      <c r="H131" s="2" t="s">
        <v>22</v>
      </c>
      <c r="I131" s="2" t="s">
        <v>244</v>
      </c>
      <c r="J131" s="6">
        <v>334</v>
      </c>
      <c r="K131" s="26">
        <v>41991</v>
      </c>
      <c r="L131" s="14"/>
      <c r="M131" s="2" t="s">
        <v>44</v>
      </c>
      <c r="N131" s="2" t="s">
        <v>25</v>
      </c>
      <c r="O131" s="11">
        <v>1E-3</v>
      </c>
      <c r="P131" s="7">
        <v>0.05</v>
      </c>
    </row>
    <row r="132" spans="1:16" ht="26">
      <c r="A132" s="1" t="s">
        <v>374</v>
      </c>
      <c r="B132" s="10" t="s">
        <v>64</v>
      </c>
      <c r="C132" s="2" t="s">
        <v>27</v>
      </c>
      <c r="D132" s="2" t="s">
        <v>28</v>
      </c>
      <c r="E132" s="2" t="s">
        <v>19</v>
      </c>
      <c r="F132" s="2" t="s">
        <v>232</v>
      </c>
      <c r="G132" s="2" t="s">
        <v>375</v>
      </c>
      <c r="H132" s="2" t="s">
        <v>22</v>
      </c>
      <c r="I132" s="2" t="s">
        <v>376</v>
      </c>
      <c r="J132" s="6">
        <v>518</v>
      </c>
      <c r="K132" s="26">
        <v>42175</v>
      </c>
      <c r="L132" s="14" t="s">
        <v>70</v>
      </c>
      <c r="M132" s="2" t="s">
        <v>49</v>
      </c>
      <c r="N132" s="2" t="s">
        <v>25</v>
      </c>
      <c r="O132" s="11">
        <v>1E-3</v>
      </c>
      <c r="P132" s="7"/>
    </row>
    <row r="133" spans="1:16" ht="26">
      <c r="A133" s="1" t="s">
        <v>374</v>
      </c>
      <c r="B133" s="10" t="s">
        <v>64</v>
      </c>
      <c r="C133" s="2" t="s">
        <v>27</v>
      </c>
      <c r="D133" s="2" t="s">
        <v>28</v>
      </c>
      <c r="E133" s="2" t="s">
        <v>19</v>
      </c>
      <c r="F133" s="2" t="s">
        <v>242</v>
      </c>
      <c r="G133" s="2" t="s">
        <v>377</v>
      </c>
      <c r="H133" s="2" t="s">
        <v>22</v>
      </c>
      <c r="I133" s="2" t="s">
        <v>376</v>
      </c>
      <c r="J133" s="6">
        <v>1002</v>
      </c>
      <c r="K133" s="26">
        <v>42659</v>
      </c>
      <c r="L133" s="14" t="s">
        <v>70</v>
      </c>
      <c r="M133" s="2" t="s">
        <v>24</v>
      </c>
      <c r="N133" s="2" t="s">
        <v>25</v>
      </c>
      <c r="O133" s="11">
        <v>1E-3</v>
      </c>
      <c r="P133" s="7"/>
    </row>
    <row r="134" spans="1:16" ht="26">
      <c r="A134" s="1" t="s">
        <v>378</v>
      </c>
      <c r="B134" s="10" t="s">
        <v>64</v>
      </c>
      <c r="C134" s="2" t="s">
        <v>27</v>
      </c>
      <c r="D134" s="2" t="s">
        <v>28</v>
      </c>
      <c r="E134" s="2" t="s">
        <v>19</v>
      </c>
      <c r="F134" s="2" t="s">
        <v>379</v>
      </c>
      <c r="G134" s="2" t="s">
        <v>380</v>
      </c>
      <c r="H134" s="2" t="s">
        <v>22</v>
      </c>
      <c r="I134" s="2" t="s">
        <v>381</v>
      </c>
      <c r="J134" s="6">
        <v>518</v>
      </c>
      <c r="K134" s="26">
        <v>42175</v>
      </c>
      <c r="L134" s="14" t="s">
        <v>70</v>
      </c>
      <c r="M134" s="2" t="s">
        <v>49</v>
      </c>
      <c r="N134" s="2" t="s">
        <v>25</v>
      </c>
      <c r="O134" s="11"/>
      <c r="P134" s="7"/>
    </row>
    <row r="135" spans="1:16" ht="26">
      <c r="A135" s="1" t="s">
        <v>378</v>
      </c>
      <c r="B135" s="10" t="s">
        <v>64</v>
      </c>
      <c r="C135" s="2" t="s">
        <v>27</v>
      </c>
      <c r="D135" s="2" t="s">
        <v>28</v>
      </c>
      <c r="E135" s="2" t="s">
        <v>19</v>
      </c>
      <c r="F135" s="2" t="s">
        <v>201</v>
      </c>
      <c r="G135" s="2" t="s">
        <v>382</v>
      </c>
      <c r="H135" s="2" t="s">
        <v>22</v>
      </c>
      <c r="I135" s="2" t="s">
        <v>381</v>
      </c>
      <c r="J135" s="6">
        <v>1249</v>
      </c>
      <c r="K135" s="26">
        <v>42906</v>
      </c>
      <c r="L135" s="14" t="s">
        <v>70</v>
      </c>
      <c r="M135" s="2" t="s">
        <v>44</v>
      </c>
      <c r="N135" s="2" t="s">
        <v>25</v>
      </c>
      <c r="O135" s="11"/>
      <c r="P135" s="7"/>
    </row>
    <row r="136" spans="1:16">
      <c r="A136" s="1" t="s">
        <v>383</v>
      </c>
      <c r="B136" s="10" t="s">
        <v>16</v>
      </c>
      <c r="C136" s="2" t="s">
        <v>17</v>
      </c>
      <c r="D136" s="2" t="s">
        <v>28</v>
      </c>
      <c r="E136" s="2" t="s">
        <v>19</v>
      </c>
      <c r="F136" s="2" t="s">
        <v>42</v>
      </c>
      <c r="G136" s="2" t="s">
        <v>384</v>
      </c>
      <c r="H136" s="2" t="s">
        <v>22</v>
      </c>
      <c r="I136" s="2" t="s">
        <v>385</v>
      </c>
      <c r="J136" s="6">
        <v>275</v>
      </c>
      <c r="K136" s="26">
        <v>41932</v>
      </c>
      <c r="L136" s="14"/>
      <c r="M136" s="2" t="s">
        <v>24</v>
      </c>
      <c r="N136" s="2" t="s">
        <v>25</v>
      </c>
      <c r="O136" s="11">
        <v>1E-3</v>
      </c>
      <c r="P136" s="7">
        <v>0.05</v>
      </c>
    </row>
    <row r="137" spans="1:16">
      <c r="A137" s="1" t="s">
        <v>383</v>
      </c>
      <c r="B137" s="10" t="s">
        <v>16</v>
      </c>
      <c r="C137" s="2" t="s">
        <v>17</v>
      </c>
      <c r="D137" s="2" t="s">
        <v>28</v>
      </c>
      <c r="E137" s="2" t="s">
        <v>19</v>
      </c>
      <c r="F137" s="2" t="s">
        <v>386</v>
      </c>
      <c r="G137" s="2" t="s">
        <v>387</v>
      </c>
      <c r="H137" s="2" t="s">
        <v>22</v>
      </c>
      <c r="I137" s="2" t="s">
        <v>385</v>
      </c>
      <c r="J137" s="6">
        <v>1006</v>
      </c>
      <c r="K137" s="26">
        <v>42663</v>
      </c>
      <c r="L137" s="14"/>
      <c r="M137" s="2" t="s">
        <v>41</v>
      </c>
      <c r="N137" s="2" t="s">
        <v>25</v>
      </c>
      <c r="O137" s="11">
        <v>0</v>
      </c>
      <c r="P137" s="7">
        <v>0.05</v>
      </c>
    </row>
    <row r="138" spans="1:16" ht="26">
      <c r="A138" s="1" t="s">
        <v>147</v>
      </c>
      <c r="B138" s="10" t="s">
        <v>64</v>
      </c>
      <c r="C138" s="2" t="s">
        <v>65</v>
      </c>
      <c r="D138" s="2" t="s">
        <v>37</v>
      </c>
      <c r="E138" s="2" t="s">
        <v>19</v>
      </c>
      <c r="F138" s="2" t="s">
        <v>96</v>
      </c>
      <c r="G138" s="2" t="s">
        <v>388</v>
      </c>
      <c r="H138" s="2" t="s">
        <v>22</v>
      </c>
      <c r="I138" s="2" t="s">
        <v>150</v>
      </c>
      <c r="J138" s="6">
        <v>518</v>
      </c>
      <c r="K138" s="26">
        <v>42175</v>
      </c>
      <c r="L138" s="14" t="s">
        <v>70</v>
      </c>
      <c r="M138" s="2" t="s">
        <v>49</v>
      </c>
      <c r="N138" s="2" t="s">
        <v>25</v>
      </c>
      <c r="O138" s="11"/>
      <c r="P138" s="7"/>
    </row>
    <row r="139" spans="1:16" ht="26">
      <c r="A139" s="1" t="s">
        <v>147</v>
      </c>
      <c r="B139" s="10" t="s">
        <v>64</v>
      </c>
      <c r="C139" s="2" t="s">
        <v>65</v>
      </c>
      <c r="D139" s="2" t="s">
        <v>37</v>
      </c>
      <c r="E139" s="2" t="s">
        <v>19</v>
      </c>
      <c r="F139" s="2" t="s">
        <v>389</v>
      </c>
      <c r="G139" s="2" t="s">
        <v>390</v>
      </c>
      <c r="H139" s="2" t="s">
        <v>22</v>
      </c>
      <c r="I139" s="2" t="s">
        <v>150</v>
      </c>
      <c r="J139" s="6">
        <v>518</v>
      </c>
      <c r="K139" s="26">
        <v>42175</v>
      </c>
      <c r="L139" s="14" t="s">
        <v>70</v>
      </c>
      <c r="M139" s="2" t="s">
        <v>24</v>
      </c>
      <c r="N139" s="2" t="s">
        <v>25</v>
      </c>
      <c r="O139" s="11"/>
      <c r="P139" s="7"/>
    </row>
    <row r="140" spans="1:16">
      <c r="A140" s="1" t="s">
        <v>391</v>
      </c>
      <c r="B140" s="10" t="s">
        <v>16</v>
      </c>
      <c r="C140" s="2" t="s">
        <v>93</v>
      </c>
      <c r="D140" s="2" t="s">
        <v>72</v>
      </c>
      <c r="E140" s="2" t="s">
        <v>19</v>
      </c>
      <c r="F140" s="2" t="s">
        <v>392</v>
      </c>
      <c r="G140" s="2" t="s">
        <v>393</v>
      </c>
      <c r="H140" s="2" t="s">
        <v>22</v>
      </c>
      <c r="I140" s="2" t="s">
        <v>394</v>
      </c>
      <c r="J140" s="6">
        <v>1019</v>
      </c>
      <c r="K140" s="26">
        <v>42676</v>
      </c>
      <c r="L140" s="14"/>
      <c r="M140" s="2" t="s">
        <v>41</v>
      </c>
      <c r="N140" s="2" t="s">
        <v>25</v>
      </c>
      <c r="O140" s="11">
        <v>1E-3</v>
      </c>
      <c r="P140" s="7">
        <v>0.05</v>
      </c>
    </row>
    <row r="141" spans="1:16">
      <c r="A141" s="1" t="s">
        <v>395</v>
      </c>
      <c r="B141" s="10" t="s">
        <v>16</v>
      </c>
      <c r="C141" s="2" t="s">
        <v>27</v>
      </c>
      <c r="D141" s="2" t="s">
        <v>72</v>
      </c>
      <c r="E141" s="2" t="s">
        <v>19</v>
      </c>
      <c r="F141" s="2" t="s">
        <v>396</v>
      </c>
      <c r="G141" s="2" t="s">
        <v>397</v>
      </c>
      <c r="H141" s="2" t="s">
        <v>22</v>
      </c>
      <c r="I141" s="2" t="s">
        <v>398</v>
      </c>
      <c r="J141" s="6">
        <v>1002</v>
      </c>
      <c r="K141" s="26">
        <v>42659</v>
      </c>
      <c r="L141" s="14"/>
      <c r="M141" s="2" t="s">
        <v>24</v>
      </c>
      <c r="N141" s="2" t="s">
        <v>25</v>
      </c>
      <c r="O141" s="11">
        <v>1E-3</v>
      </c>
      <c r="P141" s="7">
        <v>0.05</v>
      </c>
    </row>
    <row r="142" spans="1:16">
      <c r="A142" s="1" t="s">
        <v>395</v>
      </c>
      <c r="B142" s="10" t="s">
        <v>16</v>
      </c>
      <c r="C142" s="2" t="s">
        <v>27</v>
      </c>
      <c r="D142" s="2" t="s">
        <v>72</v>
      </c>
      <c r="E142" s="2" t="s">
        <v>19</v>
      </c>
      <c r="F142" s="2" t="s">
        <v>239</v>
      </c>
      <c r="G142" s="2" t="s">
        <v>399</v>
      </c>
      <c r="H142" s="2" t="s">
        <v>22</v>
      </c>
      <c r="I142" s="2" t="s">
        <v>398</v>
      </c>
      <c r="J142" s="6">
        <v>518</v>
      </c>
      <c r="K142" s="26">
        <v>42175</v>
      </c>
      <c r="L142" s="14"/>
      <c r="M142" s="2" t="s">
        <v>41</v>
      </c>
      <c r="N142" s="2" t="s">
        <v>25</v>
      </c>
      <c r="O142" s="11">
        <v>1E-3</v>
      </c>
      <c r="P142" s="7">
        <v>0.05</v>
      </c>
    </row>
    <row r="143" spans="1:16">
      <c r="A143" s="1" t="s">
        <v>400</v>
      </c>
      <c r="B143" s="10" t="s">
        <v>16</v>
      </c>
      <c r="C143" s="2" t="s">
        <v>27</v>
      </c>
      <c r="D143" s="2" t="s">
        <v>72</v>
      </c>
      <c r="E143" s="2" t="s">
        <v>19</v>
      </c>
      <c r="F143" s="2" t="s">
        <v>401</v>
      </c>
      <c r="G143" s="2" t="s">
        <v>402</v>
      </c>
      <c r="H143" s="2" t="s">
        <v>22</v>
      </c>
      <c r="I143" s="2" t="s">
        <v>403</v>
      </c>
      <c r="J143" s="6">
        <v>1017</v>
      </c>
      <c r="K143" s="26">
        <v>42674</v>
      </c>
      <c r="L143" s="14"/>
      <c r="M143" s="2" t="s">
        <v>44</v>
      </c>
      <c r="N143" s="2" t="s">
        <v>25</v>
      </c>
      <c r="O143" s="11">
        <v>1E-3</v>
      </c>
      <c r="P143" s="7">
        <v>0.05</v>
      </c>
    </row>
    <row r="144" spans="1:16">
      <c r="A144" s="1" t="s">
        <v>404</v>
      </c>
      <c r="B144" s="10" t="s">
        <v>16</v>
      </c>
      <c r="C144" s="2" t="s">
        <v>17</v>
      </c>
      <c r="D144" s="2" t="s">
        <v>37</v>
      </c>
      <c r="E144" s="2" t="s">
        <v>29</v>
      </c>
      <c r="F144" s="2" t="s">
        <v>405</v>
      </c>
      <c r="G144" s="2" t="s">
        <v>406</v>
      </c>
      <c r="H144" s="2" t="s">
        <v>32</v>
      </c>
      <c r="I144" s="2" t="s">
        <v>407</v>
      </c>
      <c r="J144" s="6">
        <v>304</v>
      </c>
      <c r="K144" s="26">
        <v>41961</v>
      </c>
      <c r="L144" s="14"/>
      <c r="M144" s="2" t="s">
        <v>24</v>
      </c>
      <c r="N144" s="2" t="s">
        <v>34</v>
      </c>
      <c r="O144" s="11">
        <v>1E-3</v>
      </c>
      <c r="P144" s="7">
        <v>0.05</v>
      </c>
    </row>
    <row r="145" spans="1:16">
      <c r="A145" s="1" t="s">
        <v>408</v>
      </c>
      <c r="B145" s="10" t="s">
        <v>16</v>
      </c>
      <c r="C145" s="2" t="s">
        <v>17</v>
      </c>
      <c r="D145" s="2" t="s">
        <v>72</v>
      </c>
      <c r="E145" s="2" t="s">
        <v>19</v>
      </c>
      <c r="F145" s="2" t="s">
        <v>42</v>
      </c>
      <c r="G145" s="2" t="s">
        <v>409</v>
      </c>
      <c r="H145" s="2" t="s">
        <v>22</v>
      </c>
      <c r="I145" s="2" t="s">
        <v>410</v>
      </c>
      <c r="J145" s="6">
        <v>320</v>
      </c>
      <c r="K145" s="26">
        <v>41977</v>
      </c>
      <c r="L145" s="14"/>
      <c r="M145" s="2" t="s">
        <v>41</v>
      </c>
      <c r="N145" s="2" t="s">
        <v>25</v>
      </c>
      <c r="O145" s="11">
        <v>1E-3</v>
      </c>
      <c r="P145" s="7">
        <v>0.05</v>
      </c>
    </row>
    <row r="146" spans="1:16">
      <c r="A146" s="1" t="s">
        <v>408</v>
      </c>
      <c r="B146" s="10" t="s">
        <v>16</v>
      </c>
      <c r="C146" s="2" t="s">
        <v>17</v>
      </c>
      <c r="D146" s="2" t="s">
        <v>72</v>
      </c>
      <c r="E146" s="2" t="s">
        <v>19</v>
      </c>
      <c r="F146" s="2" t="s">
        <v>42</v>
      </c>
      <c r="G146" s="2" t="s">
        <v>411</v>
      </c>
      <c r="H146" s="2" t="s">
        <v>22</v>
      </c>
      <c r="I146" s="2" t="s">
        <v>410</v>
      </c>
      <c r="J146" s="6">
        <v>686</v>
      </c>
      <c r="K146" s="26">
        <v>42343</v>
      </c>
      <c r="L146" s="14"/>
      <c r="M146" s="2" t="s">
        <v>44</v>
      </c>
      <c r="N146" s="2" t="s">
        <v>25</v>
      </c>
      <c r="O146" s="11">
        <v>1E-3</v>
      </c>
      <c r="P146" s="7">
        <v>0.05</v>
      </c>
    </row>
    <row r="147" spans="1:16">
      <c r="A147" s="1" t="s">
        <v>408</v>
      </c>
      <c r="B147" s="10" t="s">
        <v>16</v>
      </c>
      <c r="C147" s="2" t="s">
        <v>17</v>
      </c>
      <c r="D147" s="2" t="s">
        <v>72</v>
      </c>
      <c r="E147" s="2" t="s">
        <v>19</v>
      </c>
      <c r="F147" s="2" t="s">
        <v>412</v>
      </c>
      <c r="G147" s="2" t="s">
        <v>413</v>
      </c>
      <c r="H147" s="2" t="s">
        <v>22</v>
      </c>
      <c r="I147" s="2" t="s">
        <v>410</v>
      </c>
      <c r="J147" s="6">
        <v>686</v>
      </c>
      <c r="K147" s="26">
        <v>42343</v>
      </c>
      <c r="L147" s="14"/>
      <c r="M147" s="2" t="s">
        <v>49</v>
      </c>
      <c r="N147" s="2" t="s">
        <v>25</v>
      </c>
      <c r="O147" s="11">
        <v>1E-3</v>
      </c>
      <c r="P147" s="7">
        <v>0.05</v>
      </c>
    </row>
    <row r="148" spans="1:16" ht="26">
      <c r="A148" s="1" t="s">
        <v>414</v>
      </c>
      <c r="B148" s="10" t="s">
        <v>64</v>
      </c>
      <c r="C148" s="2" t="s">
        <v>27</v>
      </c>
      <c r="D148" s="2" t="s">
        <v>28</v>
      </c>
      <c r="E148" s="2" t="s">
        <v>19</v>
      </c>
      <c r="F148" s="2" t="s">
        <v>130</v>
      </c>
      <c r="G148" s="2" t="s">
        <v>415</v>
      </c>
      <c r="H148" s="2" t="s">
        <v>22</v>
      </c>
      <c r="I148" s="2" t="s">
        <v>416</v>
      </c>
      <c r="J148" s="6">
        <v>1249</v>
      </c>
      <c r="K148" s="26">
        <v>42906</v>
      </c>
      <c r="L148" s="14" t="s">
        <v>70</v>
      </c>
      <c r="M148" s="2" t="s">
        <v>44</v>
      </c>
      <c r="N148" s="2" t="s">
        <v>25</v>
      </c>
      <c r="O148" s="11"/>
      <c r="P148" s="7"/>
    </row>
    <row r="149" spans="1:16" ht="26">
      <c r="A149" s="1" t="s">
        <v>263</v>
      </c>
      <c r="B149" s="10" t="s">
        <v>64</v>
      </c>
      <c r="C149" s="2" t="s">
        <v>65</v>
      </c>
      <c r="D149" s="2" t="s">
        <v>72</v>
      </c>
      <c r="E149" s="2" t="s">
        <v>29</v>
      </c>
      <c r="F149" s="2" t="s">
        <v>38</v>
      </c>
      <c r="G149" s="2" t="s">
        <v>417</v>
      </c>
      <c r="H149" s="2" t="s">
        <v>32</v>
      </c>
      <c r="I149" s="2" t="s">
        <v>265</v>
      </c>
      <c r="J149" s="6">
        <v>304</v>
      </c>
      <c r="K149" s="26">
        <v>41961</v>
      </c>
      <c r="L149" s="14" t="s">
        <v>70</v>
      </c>
      <c r="M149" s="2" t="s">
        <v>49</v>
      </c>
      <c r="N149" s="2" t="s">
        <v>34</v>
      </c>
      <c r="O149" s="11">
        <v>1E-3</v>
      </c>
      <c r="P149" s="7"/>
    </row>
    <row r="150" spans="1:16" ht="26">
      <c r="A150" s="1" t="s">
        <v>217</v>
      </c>
      <c r="B150" s="10" t="s">
        <v>64</v>
      </c>
      <c r="C150" s="2" t="s">
        <v>93</v>
      </c>
      <c r="D150" s="2" t="s">
        <v>72</v>
      </c>
      <c r="E150" s="2" t="s">
        <v>51</v>
      </c>
      <c r="F150" s="2" t="s">
        <v>418</v>
      </c>
      <c r="G150" s="2" t="s">
        <v>419</v>
      </c>
      <c r="H150" s="2" t="s">
        <v>68</v>
      </c>
      <c r="I150" s="2" t="s">
        <v>219</v>
      </c>
      <c r="J150" s="6">
        <v>325</v>
      </c>
      <c r="K150" s="26">
        <v>41982</v>
      </c>
      <c r="L150" s="14" t="s">
        <v>70</v>
      </c>
      <c r="M150" s="2" t="s">
        <v>49</v>
      </c>
      <c r="N150" s="2" t="s">
        <v>56</v>
      </c>
      <c r="O150" s="11"/>
      <c r="P150" s="7"/>
    </row>
    <row r="151" spans="1:16" ht="26">
      <c r="A151" s="1" t="s">
        <v>217</v>
      </c>
      <c r="B151" s="10" t="s">
        <v>64</v>
      </c>
      <c r="C151" s="2" t="s">
        <v>65</v>
      </c>
      <c r="D151" s="2" t="s">
        <v>72</v>
      </c>
      <c r="E151" s="2" t="s">
        <v>51</v>
      </c>
      <c r="F151" s="2" t="s">
        <v>128</v>
      </c>
      <c r="G151" s="2" t="s">
        <v>420</v>
      </c>
      <c r="H151" s="2" t="s">
        <v>68</v>
      </c>
      <c r="I151" s="2" t="s">
        <v>219</v>
      </c>
      <c r="J151" s="6">
        <v>1</v>
      </c>
      <c r="K151" s="26">
        <v>41658</v>
      </c>
      <c r="L151" s="14" t="s">
        <v>70</v>
      </c>
      <c r="M151" s="2" t="s">
        <v>24</v>
      </c>
      <c r="N151" s="2" t="s">
        <v>56</v>
      </c>
      <c r="O151" s="11"/>
      <c r="P151" s="7"/>
    </row>
    <row r="152" spans="1:16" ht="26">
      <c r="A152" s="1" t="s">
        <v>421</v>
      </c>
      <c r="B152" s="10" t="s">
        <v>64</v>
      </c>
      <c r="C152" s="2" t="s">
        <v>65</v>
      </c>
      <c r="D152" s="2">
        <v>3</v>
      </c>
      <c r="E152" s="2" t="s">
        <v>51</v>
      </c>
      <c r="F152" s="2" t="s">
        <v>422</v>
      </c>
      <c r="G152" s="2" t="s">
        <v>423</v>
      </c>
      <c r="H152" s="2" t="s">
        <v>177</v>
      </c>
      <c r="I152" s="2" t="s">
        <v>424</v>
      </c>
      <c r="J152" s="6">
        <v>1015</v>
      </c>
      <c r="K152" s="26">
        <v>42672</v>
      </c>
      <c r="L152" s="14" t="s">
        <v>70</v>
      </c>
      <c r="M152" s="2" t="s">
        <v>41</v>
      </c>
      <c r="N152" s="2" t="s">
        <v>56</v>
      </c>
      <c r="O152" s="11"/>
      <c r="P152" s="7"/>
    </row>
    <row r="153" spans="1:16">
      <c r="A153" s="1" t="s">
        <v>425</v>
      </c>
      <c r="B153" s="10" t="s">
        <v>16</v>
      </c>
      <c r="C153" s="2" t="s">
        <v>36</v>
      </c>
      <c r="D153" s="2" t="s">
        <v>18</v>
      </c>
      <c r="E153" s="2" t="s">
        <v>19</v>
      </c>
      <c r="F153" s="2" t="s">
        <v>426</v>
      </c>
      <c r="G153" s="2" t="s">
        <v>427</v>
      </c>
      <c r="H153" s="2" t="s">
        <v>22</v>
      </c>
      <c r="I153" s="2" t="s">
        <v>428</v>
      </c>
      <c r="J153" s="6">
        <v>1249</v>
      </c>
      <c r="K153" s="26">
        <v>42906</v>
      </c>
      <c r="L153" s="14"/>
      <c r="M153" s="2" t="s">
        <v>49</v>
      </c>
      <c r="N153" s="2" t="s">
        <v>25</v>
      </c>
      <c r="O153" s="11">
        <v>1E-3</v>
      </c>
      <c r="P153" s="7">
        <v>0.05</v>
      </c>
    </row>
    <row r="154" spans="1:16" ht="26">
      <c r="A154" s="1" t="s">
        <v>429</v>
      </c>
      <c r="B154" s="10" t="s">
        <v>64</v>
      </c>
      <c r="C154" s="2" t="s">
        <v>65</v>
      </c>
      <c r="D154" s="2">
        <v>3</v>
      </c>
      <c r="E154" s="2" t="s">
        <v>51</v>
      </c>
      <c r="F154" s="2">
        <v>100</v>
      </c>
      <c r="G154" s="2" t="s">
        <v>430</v>
      </c>
      <c r="H154" s="2" t="s">
        <v>431</v>
      </c>
      <c r="I154" s="2" t="s">
        <v>432</v>
      </c>
      <c r="J154" s="6">
        <v>1249</v>
      </c>
      <c r="K154" s="26">
        <v>42906</v>
      </c>
      <c r="L154" s="14" t="s">
        <v>70</v>
      </c>
      <c r="M154" s="2" t="s">
        <v>49</v>
      </c>
      <c r="N154" s="2" t="s">
        <v>56</v>
      </c>
      <c r="O154" s="11">
        <v>1E-3</v>
      </c>
      <c r="P154" s="7"/>
    </row>
    <row r="155" spans="1:16" ht="26">
      <c r="A155" s="1" t="s">
        <v>63</v>
      </c>
      <c r="B155" s="10" t="s">
        <v>64</v>
      </c>
      <c r="C155" s="2" t="s">
        <v>65</v>
      </c>
      <c r="D155" s="2" t="s">
        <v>37</v>
      </c>
      <c r="E155" s="2" t="s">
        <v>51</v>
      </c>
      <c r="F155" s="2" t="s">
        <v>433</v>
      </c>
      <c r="G155" s="2" t="s">
        <v>434</v>
      </c>
      <c r="H155" s="2" t="s">
        <v>68</v>
      </c>
      <c r="I155" s="2" t="s">
        <v>69</v>
      </c>
      <c r="J155" s="6">
        <v>354</v>
      </c>
      <c r="K155" s="26">
        <v>42011</v>
      </c>
      <c r="L155" s="14" t="s">
        <v>70</v>
      </c>
      <c r="M155" s="2" t="s">
        <v>49</v>
      </c>
      <c r="N155" s="2" t="s">
        <v>56</v>
      </c>
      <c r="O155" s="11"/>
      <c r="P155" s="7"/>
    </row>
    <row r="156" spans="1:16">
      <c r="A156" s="1" t="s">
        <v>190</v>
      </c>
      <c r="B156" s="10" t="s">
        <v>16</v>
      </c>
      <c r="C156" s="2" t="s">
        <v>93</v>
      </c>
      <c r="D156" s="2" t="s">
        <v>72</v>
      </c>
      <c r="E156" s="2" t="s">
        <v>19</v>
      </c>
      <c r="F156" s="2" t="s">
        <v>435</v>
      </c>
      <c r="G156" s="2" t="s">
        <v>436</v>
      </c>
      <c r="H156" s="2" t="s">
        <v>22</v>
      </c>
      <c r="I156" s="2" t="s">
        <v>192</v>
      </c>
      <c r="J156" s="6">
        <v>411</v>
      </c>
      <c r="K156" s="26">
        <v>42068</v>
      </c>
      <c r="L156" s="14"/>
      <c r="M156" s="2" t="s">
        <v>24</v>
      </c>
      <c r="N156" s="2" t="s">
        <v>25</v>
      </c>
      <c r="O156" s="11">
        <v>1E-3</v>
      </c>
      <c r="P156" s="7">
        <v>0.05</v>
      </c>
    </row>
    <row r="157" spans="1:16">
      <c r="A157" s="1" t="s">
        <v>190</v>
      </c>
      <c r="B157" s="10" t="s">
        <v>16</v>
      </c>
      <c r="C157" s="2" t="s">
        <v>93</v>
      </c>
      <c r="D157" s="2" t="s">
        <v>72</v>
      </c>
      <c r="E157" s="2" t="s">
        <v>19</v>
      </c>
      <c r="F157" s="2" t="s">
        <v>437</v>
      </c>
      <c r="G157" s="2" t="s">
        <v>438</v>
      </c>
      <c r="H157" s="2" t="s">
        <v>22</v>
      </c>
      <c r="I157" s="2" t="s">
        <v>192</v>
      </c>
      <c r="J157" s="6">
        <v>777</v>
      </c>
      <c r="K157" s="26">
        <v>42434</v>
      </c>
      <c r="L157" s="14"/>
      <c r="M157" s="2" t="s">
        <v>41</v>
      </c>
      <c r="N157" s="2" t="s">
        <v>25</v>
      </c>
      <c r="O157" s="11">
        <v>1E-3</v>
      </c>
      <c r="P157" s="7">
        <v>0.05</v>
      </c>
    </row>
    <row r="158" spans="1:16" ht="26">
      <c r="A158" s="1" t="s">
        <v>439</v>
      </c>
      <c r="B158" s="10" t="s">
        <v>64</v>
      </c>
      <c r="C158" s="2" t="s">
        <v>17</v>
      </c>
      <c r="D158" s="2" t="s">
        <v>37</v>
      </c>
      <c r="E158" s="2" t="s">
        <v>19</v>
      </c>
      <c r="F158" s="2" t="s">
        <v>284</v>
      </c>
      <c r="G158" s="2" t="s">
        <v>440</v>
      </c>
      <c r="H158" s="2" t="s">
        <v>22</v>
      </c>
      <c r="I158" s="2" t="s">
        <v>441</v>
      </c>
      <c r="J158" s="6">
        <v>1162</v>
      </c>
      <c r="K158" s="26">
        <v>42819</v>
      </c>
      <c r="L158" s="14" t="s">
        <v>70</v>
      </c>
      <c r="M158" s="2" t="s">
        <v>49</v>
      </c>
      <c r="N158" s="2" t="s">
        <v>25</v>
      </c>
      <c r="O158" s="11">
        <v>1E-3</v>
      </c>
      <c r="P158" s="7"/>
    </row>
    <row r="159" spans="1:16" ht="26">
      <c r="A159" s="1" t="s">
        <v>442</v>
      </c>
      <c r="B159" s="10" t="s">
        <v>64</v>
      </c>
      <c r="C159" s="2" t="s">
        <v>27</v>
      </c>
      <c r="D159" s="2" t="s">
        <v>37</v>
      </c>
      <c r="E159" s="2" t="s">
        <v>19</v>
      </c>
      <c r="F159" s="2" t="s">
        <v>154</v>
      </c>
      <c r="G159" s="2" t="s">
        <v>443</v>
      </c>
      <c r="H159" s="2" t="s">
        <v>22</v>
      </c>
      <c r="I159" s="2" t="s">
        <v>444</v>
      </c>
      <c r="J159" s="6">
        <v>804</v>
      </c>
      <c r="K159" s="26">
        <v>42461</v>
      </c>
      <c r="L159" s="14" t="s">
        <v>70</v>
      </c>
      <c r="M159" s="2" t="s">
        <v>49</v>
      </c>
      <c r="N159" s="2" t="s">
        <v>25</v>
      </c>
      <c r="O159" s="11"/>
      <c r="P159" s="7"/>
    </row>
    <row r="160" spans="1:16" ht="26">
      <c r="A160" s="1" t="s">
        <v>442</v>
      </c>
      <c r="B160" s="10" t="s">
        <v>64</v>
      </c>
      <c r="C160" s="2" t="s">
        <v>27</v>
      </c>
      <c r="D160" s="2" t="s">
        <v>37</v>
      </c>
      <c r="E160" s="2" t="s">
        <v>19</v>
      </c>
      <c r="F160" s="2" t="s">
        <v>401</v>
      </c>
      <c r="G160" s="2" t="s">
        <v>445</v>
      </c>
      <c r="H160" s="2" t="s">
        <v>22</v>
      </c>
      <c r="I160" s="2" t="s">
        <v>444</v>
      </c>
      <c r="J160" s="6">
        <v>1169</v>
      </c>
      <c r="K160" s="26">
        <v>42826</v>
      </c>
      <c r="L160" s="14" t="s">
        <v>70</v>
      </c>
      <c r="M160" s="2" t="s">
        <v>24</v>
      </c>
      <c r="N160" s="2" t="s">
        <v>25</v>
      </c>
      <c r="O160" s="11"/>
      <c r="P160" s="7"/>
    </row>
    <row r="161" spans="1:16">
      <c r="A161" s="1" t="s">
        <v>446</v>
      </c>
      <c r="B161" s="10" t="s">
        <v>16</v>
      </c>
      <c r="C161" s="2" t="s">
        <v>17</v>
      </c>
      <c r="D161" s="2" t="s">
        <v>28</v>
      </c>
      <c r="E161" s="2" t="s">
        <v>19</v>
      </c>
      <c r="F161" s="2" t="s">
        <v>154</v>
      </c>
      <c r="G161" s="2" t="s">
        <v>447</v>
      </c>
      <c r="H161" s="2" t="s">
        <v>22</v>
      </c>
      <c r="I161" s="2" t="s">
        <v>448</v>
      </c>
      <c r="J161" s="6">
        <v>833</v>
      </c>
      <c r="K161" s="26">
        <v>42490</v>
      </c>
      <c r="L161" s="14"/>
      <c r="M161" s="2" t="s">
        <v>41</v>
      </c>
      <c r="N161" s="2" t="s">
        <v>25</v>
      </c>
      <c r="O161" s="11">
        <v>1E-3</v>
      </c>
      <c r="P161" s="7">
        <v>0.05</v>
      </c>
    </row>
    <row r="162" spans="1:16">
      <c r="A162" s="1" t="s">
        <v>446</v>
      </c>
      <c r="B162" s="10" t="s">
        <v>16</v>
      </c>
      <c r="C162" s="2" t="s">
        <v>449</v>
      </c>
      <c r="D162" s="2" t="s">
        <v>61</v>
      </c>
      <c r="E162" s="2" t="s">
        <v>19</v>
      </c>
      <c r="F162" s="2" t="s">
        <v>163</v>
      </c>
      <c r="G162" s="2" t="s">
        <v>450</v>
      </c>
      <c r="H162" s="2" t="s">
        <v>22</v>
      </c>
      <c r="I162" s="2" t="s">
        <v>448</v>
      </c>
      <c r="J162" s="6">
        <v>1379</v>
      </c>
      <c r="K162" s="26">
        <v>43036</v>
      </c>
      <c r="L162" s="14"/>
      <c r="M162" s="2" t="s">
        <v>49</v>
      </c>
      <c r="N162" s="2" t="s">
        <v>25</v>
      </c>
      <c r="O162" s="11">
        <v>1E-3</v>
      </c>
      <c r="P162" s="7">
        <v>0.05</v>
      </c>
    </row>
    <row r="163" spans="1:16">
      <c r="A163" s="1" t="s">
        <v>446</v>
      </c>
      <c r="B163" s="10" t="s">
        <v>16</v>
      </c>
      <c r="C163" s="2" t="s">
        <v>449</v>
      </c>
      <c r="D163" s="2" t="s">
        <v>28</v>
      </c>
      <c r="E163" s="2" t="s">
        <v>19</v>
      </c>
      <c r="F163" s="2" t="s">
        <v>451</v>
      </c>
      <c r="G163" s="2" t="s">
        <v>452</v>
      </c>
      <c r="H163" s="2" t="s">
        <v>22</v>
      </c>
      <c r="I163" s="2" t="s">
        <v>448</v>
      </c>
      <c r="J163" s="6">
        <v>1198</v>
      </c>
      <c r="K163" s="26">
        <v>42855</v>
      </c>
      <c r="L163" s="14"/>
      <c r="M163" s="2" t="s">
        <v>44</v>
      </c>
      <c r="N163" s="2" t="s">
        <v>25</v>
      </c>
      <c r="O163" s="11">
        <v>1E-3</v>
      </c>
      <c r="P163" s="7">
        <v>0.05</v>
      </c>
    </row>
    <row r="164" spans="1:16">
      <c r="A164" s="1" t="s">
        <v>45</v>
      </c>
      <c r="B164" s="2" t="s">
        <v>16</v>
      </c>
      <c r="C164" s="2" t="s">
        <v>17</v>
      </c>
      <c r="D164" s="2" t="s">
        <v>37</v>
      </c>
      <c r="E164" s="2" t="s">
        <v>19</v>
      </c>
      <c r="F164" s="2" t="s">
        <v>453</v>
      </c>
      <c r="G164" s="2" t="s">
        <v>454</v>
      </c>
      <c r="H164" s="2" t="s">
        <v>22</v>
      </c>
      <c r="I164" s="2" t="s">
        <v>48</v>
      </c>
      <c r="J164" s="6">
        <v>884</v>
      </c>
      <c r="K164" s="26">
        <v>42541</v>
      </c>
      <c r="L164" s="14"/>
      <c r="M164" s="2" t="s">
        <v>49</v>
      </c>
      <c r="N164" s="2" t="s">
        <v>25</v>
      </c>
      <c r="O164" s="11">
        <v>1E-3</v>
      </c>
      <c r="P164" s="7">
        <v>0.05</v>
      </c>
    </row>
    <row r="165" spans="1:16">
      <c r="A165" s="1" t="s">
        <v>45</v>
      </c>
      <c r="B165" s="10" t="s">
        <v>16</v>
      </c>
      <c r="C165" s="2" t="s">
        <v>17</v>
      </c>
      <c r="D165" s="2" t="s">
        <v>328</v>
      </c>
      <c r="E165" s="2" t="s">
        <v>19</v>
      </c>
      <c r="F165" s="2" t="s">
        <v>239</v>
      </c>
      <c r="G165" s="2" t="s">
        <v>455</v>
      </c>
      <c r="H165" s="2" t="s">
        <v>22</v>
      </c>
      <c r="I165" s="2" t="s">
        <v>48</v>
      </c>
      <c r="J165" s="6">
        <v>1219</v>
      </c>
      <c r="K165" s="26">
        <v>42876</v>
      </c>
      <c r="L165" s="14"/>
      <c r="M165" s="2" t="s">
        <v>24</v>
      </c>
      <c r="N165" s="2" t="s">
        <v>25</v>
      </c>
      <c r="O165" s="11">
        <v>1E-3</v>
      </c>
      <c r="P165" s="7">
        <v>0.05</v>
      </c>
    </row>
    <row r="166" spans="1:16">
      <c r="A166" s="1" t="s">
        <v>456</v>
      </c>
      <c r="B166" s="10" t="s">
        <v>16</v>
      </c>
      <c r="C166" s="2" t="s">
        <v>27</v>
      </c>
      <c r="D166" s="2" t="s">
        <v>72</v>
      </c>
      <c r="E166" s="2" t="s">
        <v>19</v>
      </c>
      <c r="F166" s="2" t="s">
        <v>103</v>
      </c>
      <c r="G166" s="2" t="s">
        <v>457</v>
      </c>
      <c r="H166" s="2" t="s">
        <v>22</v>
      </c>
      <c r="I166" s="2" t="s">
        <v>458</v>
      </c>
      <c r="J166" s="6">
        <v>518</v>
      </c>
      <c r="K166" s="26">
        <v>42175</v>
      </c>
      <c r="L166" s="14"/>
      <c r="M166" s="2" t="s">
        <v>49</v>
      </c>
      <c r="N166" s="2" t="s">
        <v>25</v>
      </c>
      <c r="O166" s="11">
        <v>1E-3</v>
      </c>
      <c r="P166" s="7">
        <v>0.05</v>
      </c>
    </row>
    <row r="167" spans="1:16">
      <c r="A167" s="1" t="s">
        <v>456</v>
      </c>
      <c r="B167" s="10" t="s">
        <v>16</v>
      </c>
      <c r="C167" s="2" t="s">
        <v>17</v>
      </c>
      <c r="D167" s="2" t="s">
        <v>37</v>
      </c>
      <c r="E167" s="2" t="s">
        <v>19</v>
      </c>
      <c r="F167" s="2" t="s">
        <v>459</v>
      </c>
      <c r="G167" s="2" t="s">
        <v>460</v>
      </c>
      <c r="H167" s="2" t="s">
        <v>22</v>
      </c>
      <c r="I167" s="2" t="s">
        <v>458</v>
      </c>
      <c r="J167" s="6">
        <v>1249</v>
      </c>
      <c r="K167" s="26">
        <v>42906</v>
      </c>
      <c r="L167" s="14"/>
      <c r="M167" s="2" t="s">
        <v>24</v>
      </c>
      <c r="N167" s="2" t="s">
        <v>25</v>
      </c>
      <c r="O167" s="11">
        <v>1E-3</v>
      </c>
      <c r="P167" s="7">
        <v>0.05</v>
      </c>
    </row>
    <row r="168" spans="1:16" ht="26">
      <c r="A168" s="1" t="s">
        <v>461</v>
      </c>
      <c r="B168" s="10" t="s">
        <v>64</v>
      </c>
      <c r="C168" s="2" t="s">
        <v>449</v>
      </c>
      <c r="D168" s="2" t="s">
        <v>328</v>
      </c>
      <c r="E168" s="2" t="s">
        <v>19</v>
      </c>
      <c r="F168" s="2" t="s">
        <v>462</v>
      </c>
      <c r="G168" s="2" t="s">
        <v>463</v>
      </c>
      <c r="H168" s="2" t="s">
        <v>22</v>
      </c>
      <c r="I168" s="2" t="s">
        <v>464</v>
      </c>
      <c r="J168" s="6">
        <v>1249</v>
      </c>
      <c r="K168" s="26">
        <v>42906</v>
      </c>
      <c r="L168" s="14" t="s">
        <v>70</v>
      </c>
      <c r="M168" s="2" t="s">
        <v>41</v>
      </c>
      <c r="N168" s="2" t="s">
        <v>25</v>
      </c>
      <c r="O168" s="11"/>
      <c r="P168" s="7"/>
    </row>
    <row r="169" spans="1:16">
      <c r="A169" s="1" t="s">
        <v>465</v>
      </c>
      <c r="B169" s="10" t="s">
        <v>16</v>
      </c>
      <c r="C169" s="2" t="s">
        <v>93</v>
      </c>
      <c r="D169" s="2" t="s">
        <v>37</v>
      </c>
      <c r="E169" s="2" t="s">
        <v>19</v>
      </c>
      <c r="F169" s="2" t="s">
        <v>466</v>
      </c>
      <c r="G169" s="2" t="s">
        <v>467</v>
      </c>
      <c r="H169" s="2" t="s">
        <v>22</v>
      </c>
      <c r="I169" s="2" t="s">
        <v>468</v>
      </c>
      <c r="J169" s="6">
        <v>518</v>
      </c>
      <c r="K169" s="26">
        <v>42175</v>
      </c>
      <c r="L169" s="14"/>
      <c r="M169" s="2" t="s">
        <v>41</v>
      </c>
      <c r="N169" s="2" t="s">
        <v>25</v>
      </c>
      <c r="O169" s="11">
        <v>1E-3</v>
      </c>
      <c r="P169" s="7">
        <v>0.05</v>
      </c>
    </row>
    <row r="170" spans="1:16">
      <c r="A170" s="1" t="s">
        <v>469</v>
      </c>
      <c r="B170" s="10" t="s">
        <v>16</v>
      </c>
      <c r="C170" s="2" t="s">
        <v>27</v>
      </c>
      <c r="D170" s="2" t="s">
        <v>72</v>
      </c>
      <c r="E170" s="2" t="s">
        <v>19</v>
      </c>
      <c r="F170" s="2" t="s">
        <v>66</v>
      </c>
      <c r="G170" s="2" t="s">
        <v>470</v>
      </c>
      <c r="H170" s="2" t="s">
        <v>22</v>
      </c>
      <c r="I170" s="2" t="s">
        <v>471</v>
      </c>
      <c r="J170" s="6">
        <v>502</v>
      </c>
      <c r="K170" s="26">
        <v>42159</v>
      </c>
      <c r="L170" s="14"/>
      <c r="M170" s="2" t="s">
        <v>49</v>
      </c>
      <c r="N170" s="2" t="s">
        <v>25</v>
      </c>
      <c r="O170" s="11">
        <v>1E-3</v>
      </c>
      <c r="P170" s="7">
        <v>0.05</v>
      </c>
    </row>
    <row r="171" spans="1:16">
      <c r="A171" s="1" t="s">
        <v>469</v>
      </c>
      <c r="B171" s="10" t="s">
        <v>16</v>
      </c>
      <c r="C171" s="2" t="s">
        <v>27</v>
      </c>
      <c r="D171" s="2" t="s">
        <v>72</v>
      </c>
      <c r="E171" s="2" t="s">
        <v>19</v>
      </c>
      <c r="F171" s="2" t="s">
        <v>20</v>
      </c>
      <c r="G171" s="2" t="s">
        <v>472</v>
      </c>
      <c r="H171" s="2" t="s">
        <v>22</v>
      </c>
      <c r="I171" s="2" t="s">
        <v>471</v>
      </c>
      <c r="J171" s="6">
        <v>868</v>
      </c>
      <c r="K171" s="26">
        <v>42525</v>
      </c>
      <c r="L171" s="14"/>
      <c r="M171" s="2" t="s">
        <v>24</v>
      </c>
      <c r="N171" s="2" t="s">
        <v>25</v>
      </c>
      <c r="O171" s="11">
        <v>1E-3</v>
      </c>
      <c r="P171" s="7">
        <v>0.05</v>
      </c>
    </row>
    <row r="172" spans="1:16">
      <c r="A172" s="1" t="s">
        <v>473</v>
      </c>
      <c r="B172" s="10" t="s">
        <v>16</v>
      </c>
      <c r="C172" s="2" t="s">
        <v>17</v>
      </c>
      <c r="D172" s="2" t="s">
        <v>18</v>
      </c>
      <c r="E172" s="2" t="s">
        <v>19</v>
      </c>
      <c r="F172" s="2" t="s">
        <v>96</v>
      </c>
      <c r="G172" s="2" t="s">
        <v>474</v>
      </c>
      <c r="H172" s="2" t="s">
        <v>22</v>
      </c>
      <c r="I172" s="2" t="s">
        <v>475</v>
      </c>
      <c r="J172" s="6">
        <v>530</v>
      </c>
      <c r="K172" s="26">
        <v>42187</v>
      </c>
      <c r="L172" s="14"/>
      <c r="M172" s="2" t="s">
        <v>44</v>
      </c>
      <c r="N172" s="2" t="s">
        <v>25</v>
      </c>
      <c r="O172" s="11">
        <v>1E-3</v>
      </c>
      <c r="P172" s="7">
        <v>0.05</v>
      </c>
    </row>
    <row r="173" spans="1:16">
      <c r="A173" s="1" t="s">
        <v>476</v>
      </c>
      <c r="B173" s="10" t="s">
        <v>16</v>
      </c>
      <c r="C173" s="2" t="s">
        <v>27</v>
      </c>
      <c r="D173" s="2" t="s">
        <v>72</v>
      </c>
      <c r="E173" s="2" t="s">
        <v>19</v>
      </c>
      <c r="F173" s="2" t="s">
        <v>96</v>
      </c>
      <c r="G173" s="2" t="s">
        <v>477</v>
      </c>
      <c r="H173" s="2" t="s">
        <v>22</v>
      </c>
      <c r="I173" s="2" t="s">
        <v>478</v>
      </c>
      <c r="J173" s="6">
        <v>1288</v>
      </c>
      <c r="K173" s="26">
        <v>42945</v>
      </c>
      <c r="L173" s="14"/>
      <c r="M173" s="2" t="s">
        <v>24</v>
      </c>
      <c r="N173" s="2" t="s">
        <v>25</v>
      </c>
      <c r="O173" s="11">
        <v>1E-3</v>
      </c>
      <c r="P173" s="7">
        <v>0.05</v>
      </c>
    </row>
    <row r="174" spans="1:16">
      <c r="A174" s="1" t="s">
        <v>476</v>
      </c>
      <c r="B174" s="10" t="s">
        <v>16</v>
      </c>
      <c r="C174" s="2" t="s">
        <v>27</v>
      </c>
      <c r="D174" s="2" t="s">
        <v>72</v>
      </c>
      <c r="E174" s="2" t="s">
        <v>19</v>
      </c>
      <c r="F174" s="2" t="s">
        <v>435</v>
      </c>
      <c r="G174" s="2" t="s">
        <v>479</v>
      </c>
      <c r="H174" s="2" t="s">
        <v>22</v>
      </c>
      <c r="I174" s="2" t="s">
        <v>478</v>
      </c>
      <c r="J174" s="6">
        <v>557</v>
      </c>
      <c r="K174" s="26">
        <v>42214</v>
      </c>
      <c r="L174" s="14"/>
      <c r="M174" s="2" t="s">
        <v>41</v>
      </c>
      <c r="N174" s="2" t="s">
        <v>25</v>
      </c>
      <c r="O174" s="11">
        <v>1E-3</v>
      </c>
      <c r="P174" s="7">
        <v>0.05</v>
      </c>
    </row>
    <row r="175" spans="1:16">
      <c r="A175" s="1" t="s">
        <v>476</v>
      </c>
      <c r="B175" s="10" t="s">
        <v>16</v>
      </c>
      <c r="C175" s="2" t="s">
        <v>27</v>
      </c>
      <c r="D175" s="2" t="s">
        <v>72</v>
      </c>
      <c r="E175" s="2" t="s">
        <v>19</v>
      </c>
      <c r="F175" s="2" t="s">
        <v>181</v>
      </c>
      <c r="G175" s="2" t="s">
        <v>480</v>
      </c>
      <c r="H175" s="2" t="s">
        <v>22</v>
      </c>
      <c r="I175" s="2" t="s">
        <v>478</v>
      </c>
      <c r="J175" s="6">
        <v>1288</v>
      </c>
      <c r="K175" s="26">
        <v>42945</v>
      </c>
      <c r="L175" s="14"/>
      <c r="M175" s="2" t="s">
        <v>44</v>
      </c>
      <c r="N175" s="2" t="s">
        <v>25</v>
      </c>
      <c r="O175" s="11">
        <v>1E-3</v>
      </c>
      <c r="P175" s="7">
        <v>0.05</v>
      </c>
    </row>
    <row r="176" spans="1:16" ht="26">
      <c r="A176" s="1" t="s">
        <v>481</v>
      </c>
      <c r="B176" s="10" t="s">
        <v>64</v>
      </c>
      <c r="C176" s="2" t="s">
        <v>17</v>
      </c>
      <c r="D176" s="2" t="s">
        <v>328</v>
      </c>
      <c r="E176" s="2" t="s">
        <v>19</v>
      </c>
      <c r="F176" s="2" t="s">
        <v>379</v>
      </c>
      <c r="G176" s="2" t="s">
        <v>482</v>
      </c>
      <c r="H176" s="2" t="s">
        <v>22</v>
      </c>
      <c r="I176" s="2" t="s">
        <v>483</v>
      </c>
      <c r="J176" s="6">
        <v>533</v>
      </c>
      <c r="K176" s="26">
        <v>42190</v>
      </c>
      <c r="L176" s="14" t="s">
        <v>70</v>
      </c>
      <c r="M176" s="2" t="s">
        <v>44</v>
      </c>
      <c r="N176" s="2" t="s">
        <v>25</v>
      </c>
      <c r="O176" s="11">
        <v>1E-3</v>
      </c>
      <c r="P176" s="7"/>
    </row>
    <row r="177" spans="1:16">
      <c r="A177" s="1" t="s">
        <v>484</v>
      </c>
      <c r="B177" s="10" t="s">
        <v>16</v>
      </c>
      <c r="C177" s="2" t="s">
        <v>36</v>
      </c>
      <c r="D177" s="2" t="s">
        <v>328</v>
      </c>
      <c r="E177" s="2" t="s">
        <v>19</v>
      </c>
      <c r="F177" s="2" t="s">
        <v>344</v>
      </c>
      <c r="G177" s="2" t="s">
        <v>485</v>
      </c>
      <c r="H177" s="2" t="s">
        <v>22</v>
      </c>
      <c r="I177" s="2" t="s">
        <v>486</v>
      </c>
      <c r="J177" s="6">
        <v>1614</v>
      </c>
      <c r="K177" s="26">
        <v>43271</v>
      </c>
      <c r="L177" s="14"/>
      <c r="M177" s="2" t="s">
        <v>44</v>
      </c>
      <c r="N177" s="2" t="s">
        <v>25</v>
      </c>
      <c r="O177" s="11">
        <v>1E-3</v>
      </c>
      <c r="P177" s="7">
        <v>0.05</v>
      </c>
    </row>
    <row r="178" spans="1:16">
      <c r="A178" s="1" t="s">
        <v>484</v>
      </c>
      <c r="B178" s="10" t="s">
        <v>16</v>
      </c>
      <c r="C178" s="2" t="s">
        <v>36</v>
      </c>
      <c r="D178" s="2" t="s">
        <v>328</v>
      </c>
      <c r="E178" s="2" t="s">
        <v>19</v>
      </c>
      <c r="F178" s="2" t="s">
        <v>487</v>
      </c>
      <c r="G178" s="2" t="s">
        <v>488</v>
      </c>
      <c r="H178" s="2" t="s">
        <v>22</v>
      </c>
      <c r="I178" s="2" t="s">
        <v>486</v>
      </c>
      <c r="J178" s="6">
        <v>1614</v>
      </c>
      <c r="K178" s="26">
        <v>43271</v>
      </c>
      <c r="L178" s="14"/>
      <c r="M178" s="2" t="s">
        <v>49</v>
      </c>
      <c r="N178" s="2" t="s">
        <v>25</v>
      </c>
      <c r="O178" s="11">
        <v>1E-3</v>
      </c>
      <c r="P178" s="7">
        <v>0.05</v>
      </c>
    </row>
    <row r="179" spans="1:16" ht="26">
      <c r="A179" s="1" t="s">
        <v>489</v>
      </c>
      <c r="B179" s="10" t="s">
        <v>64</v>
      </c>
      <c r="C179" s="2" t="s">
        <v>17</v>
      </c>
      <c r="D179" s="2" t="s">
        <v>28</v>
      </c>
      <c r="E179" s="2" t="s">
        <v>29</v>
      </c>
      <c r="F179" s="2" t="s">
        <v>490</v>
      </c>
      <c r="G179" s="2" t="s">
        <v>491</v>
      </c>
      <c r="H179" s="2" t="s">
        <v>32</v>
      </c>
      <c r="I179" s="2" t="s">
        <v>492</v>
      </c>
      <c r="J179" s="6">
        <v>1979</v>
      </c>
      <c r="K179" s="26">
        <v>43636</v>
      </c>
      <c r="L179" s="14" t="s">
        <v>70</v>
      </c>
      <c r="M179" s="2" t="s">
        <v>41</v>
      </c>
      <c r="N179" s="2" t="s">
        <v>34</v>
      </c>
      <c r="O179" s="11"/>
      <c r="P179" s="7"/>
    </row>
    <row r="180" spans="1:16">
      <c r="A180" s="1" t="s">
        <v>493</v>
      </c>
      <c r="B180" s="10" t="s">
        <v>16</v>
      </c>
      <c r="C180" s="2" t="s">
        <v>17</v>
      </c>
      <c r="D180" s="2" t="s">
        <v>18</v>
      </c>
      <c r="E180" s="2" t="s">
        <v>19</v>
      </c>
      <c r="F180" s="2" t="s">
        <v>232</v>
      </c>
      <c r="G180" s="2" t="s">
        <v>494</v>
      </c>
      <c r="H180" s="2" t="s">
        <v>22</v>
      </c>
      <c r="I180" s="2" t="s">
        <v>495</v>
      </c>
      <c r="J180" s="6">
        <v>592</v>
      </c>
      <c r="K180" s="26">
        <v>42249</v>
      </c>
      <c r="L180" s="14"/>
      <c r="M180" s="2" t="s">
        <v>44</v>
      </c>
      <c r="N180" s="2" t="s">
        <v>25</v>
      </c>
      <c r="O180" s="11">
        <v>1E-3</v>
      </c>
      <c r="P180" s="7">
        <v>0.05</v>
      </c>
    </row>
    <row r="181" spans="1:16">
      <c r="A181" s="1" t="s">
        <v>493</v>
      </c>
      <c r="B181" s="10" t="s">
        <v>16</v>
      </c>
      <c r="C181" s="2" t="s">
        <v>17</v>
      </c>
      <c r="D181" s="2" t="s">
        <v>18</v>
      </c>
      <c r="E181" s="2" t="s">
        <v>19</v>
      </c>
      <c r="F181" s="2" t="s">
        <v>496</v>
      </c>
      <c r="G181" s="2" t="s">
        <v>497</v>
      </c>
      <c r="H181" s="2" t="s">
        <v>22</v>
      </c>
      <c r="I181" s="2" t="s">
        <v>495</v>
      </c>
      <c r="J181" s="6">
        <v>700</v>
      </c>
      <c r="K181" s="26">
        <v>42357</v>
      </c>
      <c r="L181" s="14"/>
      <c r="M181" s="2" t="s">
        <v>49</v>
      </c>
      <c r="N181" s="2" t="s">
        <v>25</v>
      </c>
      <c r="O181" s="11">
        <v>1E-3</v>
      </c>
      <c r="P181" s="7">
        <v>0.05</v>
      </c>
    </row>
    <row r="182" spans="1:16" ht="26">
      <c r="A182" s="1" t="s">
        <v>498</v>
      </c>
      <c r="B182" s="10" t="s">
        <v>64</v>
      </c>
      <c r="C182" s="2" t="s">
        <v>27</v>
      </c>
      <c r="D182" s="2" t="s">
        <v>72</v>
      </c>
      <c r="E182" s="2" t="s">
        <v>19</v>
      </c>
      <c r="F182" s="2" t="s">
        <v>499</v>
      </c>
      <c r="G182" s="2" t="s">
        <v>500</v>
      </c>
      <c r="H182" s="2" t="s">
        <v>501</v>
      </c>
      <c r="I182" s="2" t="s">
        <v>502</v>
      </c>
      <c r="J182" s="6">
        <v>608</v>
      </c>
      <c r="K182" s="26">
        <v>42265</v>
      </c>
      <c r="L182" s="14" t="s">
        <v>70</v>
      </c>
      <c r="M182" s="2" t="s">
        <v>41</v>
      </c>
      <c r="N182" s="2" t="s">
        <v>25</v>
      </c>
      <c r="O182" s="11">
        <v>1E-3</v>
      </c>
      <c r="P182" s="7"/>
    </row>
    <row r="183" spans="1:16" ht="26">
      <c r="A183" s="1" t="s">
        <v>498</v>
      </c>
      <c r="B183" s="10" t="s">
        <v>64</v>
      </c>
      <c r="C183" s="2" t="s">
        <v>27</v>
      </c>
      <c r="D183" s="2" t="s">
        <v>72</v>
      </c>
      <c r="E183" s="2" t="s">
        <v>19</v>
      </c>
      <c r="F183" s="2" t="s">
        <v>503</v>
      </c>
      <c r="G183" s="2" t="s">
        <v>504</v>
      </c>
      <c r="H183" s="2" t="s">
        <v>501</v>
      </c>
      <c r="I183" s="2" t="s">
        <v>502</v>
      </c>
      <c r="J183" s="6">
        <v>1338</v>
      </c>
      <c r="K183" s="26">
        <v>42995</v>
      </c>
      <c r="L183" s="14" t="s">
        <v>70</v>
      </c>
      <c r="M183" s="2" t="s">
        <v>49</v>
      </c>
      <c r="N183" s="2" t="s">
        <v>25</v>
      </c>
      <c r="O183" s="11">
        <v>1E-3</v>
      </c>
      <c r="P183" s="7"/>
    </row>
    <row r="184" spans="1:16" ht="26">
      <c r="A184" s="1" t="s">
        <v>505</v>
      </c>
      <c r="B184" s="10" t="s">
        <v>64</v>
      </c>
      <c r="C184" s="2" t="s">
        <v>17</v>
      </c>
      <c r="D184" s="2" t="s">
        <v>28</v>
      </c>
      <c r="E184" s="2" t="s">
        <v>19</v>
      </c>
      <c r="F184" s="2" t="s">
        <v>42</v>
      </c>
      <c r="G184" s="2" t="s">
        <v>506</v>
      </c>
      <c r="H184" s="2" t="s">
        <v>22</v>
      </c>
      <c r="I184" s="2" t="s">
        <v>507</v>
      </c>
      <c r="J184" s="6">
        <v>594</v>
      </c>
      <c r="K184" s="26">
        <v>42251</v>
      </c>
      <c r="L184" s="14" t="s">
        <v>70</v>
      </c>
      <c r="M184" s="2" t="s">
        <v>44</v>
      </c>
      <c r="N184" s="2" t="s">
        <v>25</v>
      </c>
      <c r="O184" s="11">
        <v>1E-3</v>
      </c>
      <c r="P184" s="7"/>
    </row>
    <row r="185" spans="1:16" ht="26">
      <c r="A185" s="1" t="s">
        <v>505</v>
      </c>
      <c r="B185" s="2" t="s">
        <v>64</v>
      </c>
      <c r="C185" s="2" t="s">
        <v>17</v>
      </c>
      <c r="D185" s="2" t="s">
        <v>28</v>
      </c>
      <c r="E185" s="2" t="s">
        <v>19</v>
      </c>
      <c r="F185" s="2" t="s">
        <v>38</v>
      </c>
      <c r="G185" s="2" t="s">
        <v>508</v>
      </c>
      <c r="H185" s="2" t="s">
        <v>22</v>
      </c>
      <c r="I185" s="2" t="s">
        <v>507</v>
      </c>
      <c r="J185" s="6">
        <v>1324</v>
      </c>
      <c r="K185" s="26">
        <v>42981</v>
      </c>
      <c r="L185" s="14" t="s">
        <v>70</v>
      </c>
      <c r="M185" s="2" t="s">
        <v>49</v>
      </c>
      <c r="N185" s="2" t="s">
        <v>25</v>
      </c>
      <c r="O185" s="11">
        <v>1E-3</v>
      </c>
      <c r="P185" s="1"/>
    </row>
    <row r="186" spans="1:16" ht="26">
      <c r="A186" s="1" t="s">
        <v>505</v>
      </c>
      <c r="B186" s="2" t="s">
        <v>64</v>
      </c>
      <c r="C186" s="2" t="s">
        <v>17</v>
      </c>
      <c r="D186" s="2" t="s">
        <v>28</v>
      </c>
      <c r="E186" s="2" t="s">
        <v>19</v>
      </c>
      <c r="F186" s="2" t="s">
        <v>154</v>
      </c>
      <c r="G186" s="2" t="s">
        <v>509</v>
      </c>
      <c r="H186" s="2" t="s">
        <v>22</v>
      </c>
      <c r="I186" s="2" t="s">
        <v>507</v>
      </c>
      <c r="J186" s="6">
        <v>1324</v>
      </c>
      <c r="K186" s="26">
        <v>42981</v>
      </c>
      <c r="L186" s="14" t="s">
        <v>70</v>
      </c>
      <c r="M186" s="2" t="s">
        <v>24</v>
      </c>
      <c r="N186" s="2" t="s">
        <v>25</v>
      </c>
      <c r="O186" s="11">
        <v>1E-3</v>
      </c>
      <c r="P186" s="1"/>
    </row>
    <row r="187" spans="1:16" ht="26">
      <c r="A187" s="1" t="s">
        <v>505</v>
      </c>
      <c r="B187" s="2" t="s">
        <v>64</v>
      </c>
      <c r="C187" s="2" t="s">
        <v>36</v>
      </c>
      <c r="D187" s="2" t="s">
        <v>328</v>
      </c>
      <c r="E187" s="2" t="s">
        <v>19</v>
      </c>
      <c r="F187" s="2" t="s">
        <v>154</v>
      </c>
      <c r="G187" s="2" t="s">
        <v>510</v>
      </c>
      <c r="H187" s="2" t="s">
        <v>22</v>
      </c>
      <c r="I187" s="2" t="s">
        <v>507</v>
      </c>
      <c r="J187" s="6">
        <v>1614</v>
      </c>
      <c r="K187" s="26">
        <v>43271</v>
      </c>
      <c r="L187" s="14" t="s">
        <v>70</v>
      </c>
      <c r="M187" s="2" t="s">
        <v>41</v>
      </c>
      <c r="N187" s="2" t="s">
        <v>25</v>
      </c>
      <c r="O187" s="11">
        <v>1E-3</v>
      </c>
      <c r="P187" s="1"/>
    </row>
    <row r="188" spans="1:16" ht="26">
      <c r="A188" s="1" t="s">
        <v>511</v>
      </c>
      <c r="B188" s="2" t="s">
        <v>64</v>
      </c>
      <c r="C188" s="2" t="s">
        <v>65</v>
      </c>
      <c r="D188" s="2" t="s">
        <v>72</v>
      </c>
      <c r="E188" s="2" t="s">
        <v>19</v>
      </c>
      <c r="F188" s="2" t="s">
        <v>128</v>
      </c>
      <c r="G188" s="2" t="s">
        <v>512</v>
      </c>
      <c r="H188" s="2" t="s">
        <v>22</v>
      </c>
      <c r="I188" s="2" t="s">
        <v>513</v>
      </c>
      <c r="J188" s="6">
        <v>607</v>
      </c>
      <c r="K188" s="26">
        <v>42264</v>
      </c>
      <c r="L188" s="14" t="s">
        <v>70</v>
      </c>
      <c r="M188" s="2" t="s">
        <v>49</v>
      </c>
      <c r="N188" s="2" t="s">
        <v>25</v>
      </c>
      <c r="O188" s="11"/>
      <c r="P188" s="1"/>
    </row>
    <row r="189" spans="1:16" ht="26">
      <c r="A189" s="1" t="s">
        <v>511</v>
      </c>
      <c r="B189" s="2" t="s">
        <v>64</v>
      </c>
      <c r="C189" s="2" t="s">
        <v>65</v>
      </c>
      <c r="D189" s="2" t="s">
        <v>72</v>
      </c>
      <c r="E189" s="2" t="s">
        <v>19</v>
      </c>
      <c r="F189" s="2" t="s">
        <v>514</v>
      </c>
      <c r="G189" s="2" t="s">
        <v>515</v>
      </c>
      <c r="H189" s="2" t="s">
        <v>22</v>
      </c>
      <c r="I189" s="2" t="s">
        <v>513</v>
      </c>
      <c r="J189" s="6">
        <v>607</v>
      </c>
      <c r="K189" s="26">
        <v>42264</v>
      </c>
      <c r="L189" s="14" t="s">
        <v>70</v>
      </c>
      <c r="M189" s="2" t="s">
        <v>24</v>
      </c>
      <c r="N189" s="2" t="s">
        <v>25</v>
      </c>
      <c r="O189" s="11"/>
      <c r="P189" s="1"/>
    </row>
    <row r="190" spans="1:16">
      <c r="A190" s="1" t="s">
        <v>516</v>
      </c>
      <c r="B190" s="2" t="s">
        <v>16</v>
      </c>
      <c r="C190" s="2" t="s">
        <v>17</v>
      </c>
      <c r="D190" s="2" t="s">
        <v>37</v>
      </c>
      <c r="E190" s="2" t="s">
        <v>19</v>
      </c>
      <c r="F190" s="2" t="s">
        <v>517</v>
      </c>
      <c r="G190" s="2" t="s">
        <v>518</v>
      </c>
      <c r="H190" s="2" t="s">
        <v>22</v>
      </c>
      <c r="I190" s="2" t="s">
        <v>519</v>
      </c>
      <c r="J190" s="6">
        <v>1127</v>
      </c>
      <c r="K190" s="26">
        <v>42784</v>
      </c>
      <c r="L190" s="14"/>
      <c r="M190" s="2" t="s">
        <v>41</v>
      </c>
      <c r="N190" s="2" t="s">
        <v>25</v>
      </c>
      <c r="O190" s="11">
        <v>1E-3</v>
      </c>
      <c r="P190" s="7">
        <v>0.05</v>
      </c>
    </row>
    <row r="191" spans="1:16">
      <c r="A191" s="1" t="s">
        <v>516</v>
      </c>
      <c r="B191" s="2" t="s">
        <v>16</v>
      </c>
      <c r="C191" s="2" t="s">
        <v>17</v>
      </c>
      <c r="D191" s="2" t="s">
        <v>37</v>
      </c>
      <c r="E191" s="2" t="s">
        <v>19</v>
      </c>
      <c r="F191" s="2" t="s">
        <v>520</v>
      </c>
      <c r="G191" s="2" t="s">
        <v>521</v>
      </c>
      <c r="H191" s="2" t="s">
        <v>22</v>
      </c>
      <c r="I191" s="2" t="s">
        <v>519</v>
      </c>
      <c r="J191" s="6">
        <v>1614</v>
      </c>
      <c r="K191" s="26">
        <v>43271</v>
      </c>
      <c r="L191" s="14"/>
      <c r="M191" s="2" t="s">
        <v>49</v>
      </c>
      <c r="N191" s="2" t="s">
        <v>25</v>
      </c>
      <c r="O191" s="11">
        <v>1E-3</v>
      </c>
      <c r="P191" s="7">
        <v>0.05</v>
      </c>
    </row>
    <row r="192" spans="1:16">
      <c r="A192" s="1" t="s">
        <v>516</v>
      </c>
      <c r="B192" s="2" t="s">
        <v>16</v>
      </c>
      <c r="C192" s="2" t="s">
        <v>17</v>
      </c>
      <c r="D192" s="2" t="s">
        <v>37</v>
      </c>
      <c r="E192" s="2" t="s">
        <v>19</v>
      </c>
      <c r="F192" s="2" t="s">
        <v>154</v>
      </c>
      <c r="G192" s="2" t="s">
        <v>522</v>
      </c>
      <c r="H192" s="2" t="s">
        <v>22</v>
      </c>
      <c r="I192" s="2" t="s">
        <v>519</v>
      </c>
      <c r="J192" s="6">
        <v>1614</v>
      </c>
      <c r="K192" s="26">
        <v>43271</v>
      </c>
      <c r="L192" s="14"/>
      <c r="M192" s="2" t="s">
        <v>44</v>
      </c>
      <c r="N192" s="2" t="s">
        <v>25</v>
      </c>
      <c r="O192" s="11">
        <v>1E-3</v>
      </c>
      <c r="P192" s="7">
        <v>0.05</v>
      </c>
    </row>
    <row r="193" spans="1:16">
      <c r="A193" s="1" t="s">
        <v>516</v>
      </c>
      <c r="B193" s="2" t="s">
        <v>16</v>
      </c>
      <c r="C193" s="2" t="s">
        <v>17</v>
      </c>
      <c r="D193" s="2" t="s">
        <v>37</v>
      </c>
      <c r="E193" s="2" t="s">
        <v>19</v>
      </c>
      <c r="F193" s="2" t="s">
        <v>523</v>
      </c>
      <c r="G193" s="2" t="s">
        <v>524</v>
      </c>
      <c r="H193" s="2" t="s">
        <v>22</v>
      </c>
      <c r="I193" s="2" t="s">
        <v>519</v>
      </c>
      <c r="J193" s="6">
        <v>1492</v>
      </c>
      <c r="K193" s="26">
        <v>43149</v>
      </c>
      <c r="L193" s="14"/>
      <c r="M193" s="2" t="s">
        <v>49</v>
      </c>
      <c r="N193" s="2" t="s">
        <v>25</v>
      </c>
      <c r="O193" s="11">
        <v>1E-3</v>
      </c>
      <c r="P193" s="7">
        <v>0.05</v>
      </c>
    </row>
    <row r="194" spans="1:16">
      <c r="A194" s="1" t="s">
        <v>525</v>
      </c>
      <c r="B194" s="2" t="s">
        <v>16</v>
      </c>
      <c r="C194" s="2" t="s">
        <v>17</v>
      </c>
      <c r="D194" s="2" t="s">
        <v>28</v>
      </c>
      <c r="E194" s="2" t="s">
        <v>200</v>
      </c>
      <c r="F194" s="2" t="s">
        <v>61</v>
      </c>
      <c r="G194" s="2" t="s">
        <v>526</v>
      </c>
      <c r="H194" s="2" t="s">
        <v>203</v>
      </c>
      <c r="I194" s="2" t="s">
        <v>527</v>
      </c>
      <c r="J194" s="6">
        <v>1249</v>
      </c>
      <c r="K194" s="26">
        <v>42906</v>
      </c>
      <c r="L194" s="14"/>
      <c r="M194" s="2" t="s">
        <v>44</v>
      </c>
      <c r="N194" s="2" t="s">
        <v>205</v>
      </c>
      <c r="O194" s="11">
        <v>1E-3</v>
      </c>
      <c r="P194" s="7">
        <v>0.05</v>
      </c>
    </row>
    <row r="195" spans="1:16">
      <c r="A195" s="1" t="s">
        <v>525</v>
      </c>
      <c r="B195" s="2" t="s">
        <v>16</v>
      </c>
      <c r="C195" s="2" t="s">
        <v>17</v>
      </c>
      <c r="D195" s="2" t="s">
        <v>28</v>
      </c>
      <c r="E195" s="2" t="s">
        <v>200</v>
      </c>
      <c r="F195" s="2" t="s">
        <v>42</v>
      </c>
      <c r="G195" s="2" t="s">
        <v>528</v>
      </c>
      <c r="H195" s="2" t="s">
        <v>203</v>
      </c>
      <c r="I195" s="2" t="s">
        <v>527</v>
      </c>
      <c r="J195" s="6">
        <v>1614</v>
      </c>
      <c r="K195" s="26">
        <v>43271</v>
      </c>
      <c r="L195" s="14"/>
      <c r="M195" s="2" t="s">
        <v>49</v>
      </c>
      <c r="N195" s="2" t="s">
        <v>205</v>
      </c>
      <c r="O195" s="11">
        <v>1E-3</v>
      </c>
      <c r="P195" s="7">
        <v>0.05</v>
      </c>
    </row>
    <row r="196" spans="1:16">
      <c r="A196" s="1" t="s">
        <v>529</v>
      </c>
      <c r="B196" s="2" t="s">
        <v>16</v>
      </c>
      <c r="C196" s="2" t="s">
        <v>17</v>
      </c>
      <c r="D196" s="2" t="s">
        <v>28</v>
      </c>
      <c r="E196" s="2" t="s">
        <v>19</v>
      </c>
      <c r="F196" s="2" t="s">
        <v>30</v>
      </c>
      <c r="G196" s="2" t="s">
        <v>530</v>
      </c>
      <c r="H196" s="2" t="s">
        <v>22</v>
      </c>
      <c r="I196" s="2" t="s">
        <v>531</v>
      </c>
      <c r="J196" s="6">
        <v>1249</v>
      </c>
      <c r="K196" s="26">
        <v>42906</v>
      </c>
      <c r="L196" s="14"/>
      <c r="M196" s="2" t="s">
        <v>49</v>
      </c>
      <c r="N196" s="2" t="s">
        <v>25</v>
      </c>
      <c r="O196" s="11">
        <v>1E-3</v>
      </c>
      <c r="P196" s="7">
        <v>0.05</v>
      </c>
    </row>
    <row r="197" spans="1:16">
      <c r="A197" s="1" t="s">
        <v>529</v>
      </c>
      <c r="B197" s="2" t="s">
        <v>16</v>
      </c>
      <c r="C197" s="2" t="s">
        <v>17</v>
      </c>
      <c r="D197" s="2" t="s">
        <v>28</v>
      </c>
      <c r="E197" s="2" t="s">
        <v>19</v>
      </c>
      <c r="F197" s="2" t="s">
        <v>532</v>
      </c>
      <c r="G197" s="2" t="s">
        <v>533</v>
      </c>
      <c r="H197" s="2" t="s">
        <v>22</v>
      </c>
      <c r="I197" s="2" t="s">
        <v>531</v>
      </c>
      <c r="J197" s="6">
        <v>1249</v>
      </c>
      <c r="K197" s="26">
        <v>42906</v>
      </c>
      <c r="L197" s="14"/>
      <c r="M197" s="2" t="s">
        <v>24</v>
      </c>
      <c r="N197" s="2" t="s">
        <v>25</v>
      </c>
      <c r="O197" s="11">
        <v>1E-3</v>
      </c>
      <c r="P197" s="7">
        <v>0.05</v>
      </c>
    </row>
    <row r="198" spans="1:16">
      <c r="A198" s="1" t="s">
        <v>250</v>
      </c>
      <c r="B198" s="2" t="s">
        <v>16</v>
      </c>
      <c r="C198" s="2" t="s">
        <v>27</v>
      </c>
      <c r="D198" s="2" t="s">
        <v>72</v>
      </c>
      <c r="E198" s="2" t="s">
        <v>19</v>
      </c>
      <c r="F198" s="2" t="s">
        <v>534</v>
      </c>
      <c r="G198" s="2" t="s">
        <v>535</v>
      </c>
      <c r="H198" s="2" t="s">
        <v>22</v>
      </c>
      <c r="I198" s="2" t="s">
        <v>253</v>
      </c>
      <c r="J198" s="6">
        <v>792</v>
      </c>
      <c r="K198" s="26">
        <v>42449</v>
      </c>
      <c r="L198" s="14"/>
      <c r="M198" s="2" t="s">
        <v>49</v>
      </c>
      <c r="N198" s="2" t="s">
        <v>25</v>
      </c>
      <c r="O198" s="11">
        <v>1E-3</v>
      </c>
      <c r="P198" s="7">
        <v>0.05</v>
      </c>
    </row>
    <row r="199" spans="1:16">
      <c r="A199" s="1" t="s">
        <v>250</v>
      </c>
      <c r="B199" s="2" t="s">
        <v>16</v>
      </c>
      <c r="C199" s="2" t="s">
        <v>27</v>
      </c>
      <c r="D199" s="2" t="s">
        <v>72</v>
      </c>
      <c r="E199" s="2" t="s">
        <v>19</v>
      </c>
      <c r="F199" s="2" t="s">
        <v>66</v>
      </c>
      <c r="G199" s="2" t="s">
        <v>536</v>
      </c>
      <c r="H199" s="2" t="s">
        <v>22</v>
      </c>
      <c r="I199" s="2" t="s">
        <v>253</v>
      </c>
      <c r="J199" s="6">
        <v>792</v>
      </c>
      <c r="K199" s="26">
        <v>42449</v>
      </c>
      <c r="L199" s="14"/>
      <c r="M199" s="2" t="s">
        <v>24</v>
      </c>
      <c r="N199" s="2" t="s">
        <v>25</v>
      </c>
      <c r="O199" s="11">
        <v>1E-3</v>
      </c>
      <c r="P199" s="7">
        <v>0.05</v>
      </c>
    </row>
    <row r="200" spans="1:16">
      <c r="A200" s="1" t="s">
        <v>250</v>
      </c>
      <c r="B200" s="2" t="s">
        <v>16</v>
      </c>
      <c r="C200" s="2" t="s">
        <v>27</v>
      </c>
      <c r="D200" s="2" t="s">
        <v>72</v>
      </c>
      <c r="E200" s="2" t="s">
        <v>19</v>
      </c>
      <c r="F200" s="2" t="s">
        <v>412</v>
      </c>
      <c r="G200" s="2" t="s">
        <v>537</v>
      </c>
      <c r="H200" s="2" t="s">
        <v>22</v>
      </c>
      <c r="I200" s="2" t="s">
        <v>253</v>
      </c>
      <c r="J200" s="6">
        <v>792</v>
      </c>
      <c r="K200" s="26">
        <v>42449</v>
      </c>
      <c r="L200" s="14"/>
      <c r="M200" s="2" t="s">
        <v>41</v>
      </c>
      <c r="N200" s="2" t="s">
        <v>25</v>
      </c>
      <c r="O200" s="11">
        <v>1E-3</v>
      </c>
      <c r="P200" s="7">
        <v>0.05</v>
      </c>
    </row>
    <row r="201" spans="1:16">
      <c r="A201" s="1" t="s">
        <v>250</v>
      </c>
      <c r="B201" s="2" t="s">
        <v>16</v>
      </c>
      <c r="C201" s="2" t="s">
        <v>27</v>
      </c>
      <c r="D201" s="2" t="s">
        <v>72</v>
      </c>
      <c r="E201" s="2" t="s">
        <v>19</v>
      </c>
      <c r="F201" s="2" t="s">
        <v>538</v>
      </c>
      <c r="G201" s="2" t="s">
        <v>539</v>
      </c>
      <c r="H201" s="2" t="s">
        <v>22</v>
      </c>
      <c r="I201" s="2" t="s">
        <v>253</v>
      </c>
      <c r="J201" s="6">
        <v>792</v>
      </c>
      <c r="K201" s="26">
        <v>42449</v>
      </c>
      <c r="L201" s="14"/>
      <c r="M201" s="2" t="s">
        <v>49</v>
      </c>
      <c r="N201" s="2" t="s">
        <v>25</v>
      </c>
      <c r="O201" s="11">
        <v>1E-3</v>
      </c>
      <c r="P201" s="7">
        <v>0.05</v>
      </c>
    </row>
    <row r="202" spans="1:16" ht="26">
      <c r="A202" s="1" t="s">
        <v>498</v>
      </c>
      <c r="B202" s="2" t="s">
        <v>64</v>
      </c>
      <c r="C202" s="2" t="s">
        <v>27</v>
      </c>
      <c r="D202" s="2" t="s">
        <v>72</v>
      </c>
      <c r="E202" s="2" t="s">
        <v>19</v>
      </c>
      <c r="F202" s="2" t="s">
        <v>540</v>
      </c>
      <c r="G202" s="2" t="s">
        <v>541</v>
      </c>
      <c r="H202" s="2" t="s">
        <v>501</v>
      </c>
      <c r="I202" s="2" t="s">
        <v>502</v>
      </c>
      <c r="J202" s="6">
        <v>608</v>
      </c>
      <c r="K202" s="26">
        <v>42265</v>
      </c>
      <c r="L202" s="14" t="s">
        <v>70</v>
      </c>
      <c r="M202" s="2" t="s">
        <v>24</v>
      </c>
      <c r="N202" s="2" t="s">
        <v>25</v>
      </c>
      <c r="O202" s="11">
        <v>1E-3</v>
      </c>
      <c r="P202" s="7"/>
    </row>
    <row r="203" spans="1:16">
      <c r="A203" s="1" t="s">
        <v>250</v>
      </c>
      <c r="B203" s="2" t="s">
        <v>16</v>
      </c>
      <c r="C203" s="2" t="s">
        <v>27</v>
      </c>
      <c r="D203" s="2" t="s">
        <v>72</v>
      </c>
      <c r="E203" s="2" t="s">
        <v>19</v>
      </c>
      <c r="F203" s="2" t="s">
        <v>30</v>
      </c>
      <c r="G203" s="2" t="s">
        <v>542</v>
      </c>
      <c r="H203" s="2" t="s">
        <v>22</v>
      </c>
      <c r="I203" s="2" t="s">
        <v>253</v>
      </c>
      <c r="J203" s="6">
        <v>974</v>
      </c>
      <c r="K203" s="26">
        <v>42631</v>
      </c>
      <c r="L203" s="14"/>
      <c r="M203" s="2" t="s">
        <v>24</v>
      </c>
      <c r="N203" s="2" t="s">
        <v>25</v>
      </c>
      <c r="O203" s="11">
        <v>1E-3</v>
      </c>
      <c r="P203" s="7">
        <v>0.05</v>
      </c>
    </row>
    <row r="204" spans="1:16">
      <c r="A204" s="1" t="s">
        <v>250</v>
      </c>
      <c r="B204" s="2" t="s">
        <v>16</v>
      </c>
      <c r="C204" s="2" t="s">
        <v>27</v>
      </c>
      <c r="D204" s="2" t="s">
        <v>72</v>
      </c>
      <c r="E204" s="2" t="s">
        <v>19</v>
      </c>
      <c r="F204" s="2" t="s">
        <v>354</v>
      </c>
      <c r="G204" s="2" t="s">
        <v>543</v>
      </c>
      <c r="H204" s="2" t="s">
        <v>22</v>
      </c>
      <c r="I204" s="2" t="s">
        <v>253</v>
      </c>
      <c r="J204" s="6">
        <v>1339</v>
      </c>
      <c r="K204" s="26">
        <v>42996</v>
      </c>
      <c r="L204" s="14"/>
      <c r="M204" s="2" t="s">
        <v>41</v>
      </c>
      <c r="N204" s="2" t="s">
        <v>25</v>
      </c>
      <c r="O204" s="11">
        <v>1E-3</v>
      </c>
      <c r="P204" s="7">
        <v>0.05</v>
      </c>
    </row>
    <row r="205" spans="1:16">
      <c r="A205" s="1" t="s">
        <v>544</v>
      </c>
      <c r="B205" s="2" t="s">
        <v>16</v>
      </c>
      <c r="C205" s="2" t="s">
        <v>17</v>
      </c>
      <c r="D205" s="2" t="s">
        <v>37</v>
      </c>
      <c r="E205" s="2" t="s">
        <v>19</v>
      </c>
      <c r="F205" s="2" t="s">
        <v>148</v>
      </c>
      <c r="G205" s="2" t="s">
        <v>545</v>
      </c>
      <c r="H205" s="2" t="s">
        <v>22</v>
      </c>
      <c r="I205" s="2" t="s">
        <v>546</v>
      </c>
      <c r="J205" s="6">
        <v>662</v>
      </c>
      <c r="K205" s="26">
        <v>42319</v>
      </c>
      <c r="L205" s="14"/>
      <c r="M205" s="2" t="s">
        <v>49</v>
      </c>
      <c r="N205" s="2" t="s">
        <v>25</v>
      </c>
      <c r="O205" s="11"/>
      <c r="P205" s="7">
        <v>0.05</v>
      </c>
    </row>
    <row r="206" spans="1:16">
      <c r="A206" s="1" t="s">
        <v>544</v>
      </c>
      <c r="B206" s="2" t="s">
        <v>16</v>
      </c>
      <c r="C206" s="2" t="s">
        <v>17</v>
      </c>
      <c r="D206" s="2" t="s">
        <v>37</v>
      </c>
      <c r="E206" s="2" t="s">
        <v>19</v>
      </c>
      <c r="F206" s="2" t="s">
        <v>124</v>
      </c>
      <c r="G206" s="2" t="s">
        <v>547</v>
      </c>
      <c r="H206" s="2" t="s">
        <v>22</v>
      </c>
      <c r="I206" s="2" t="s">
        <v>546</v>
      </c>
      <c r="J206" s="6">
        <v>1392</v>
      </c>
      <c r="K206" s="26">
        <v>43049</v>
      </c>
      <c r="L206" s="14"/>
      <c r="M206" s="2" t="s">
        <v>41</v>
      </c>
      <c r="N206" s="2" t="s">
        <v>25</v>
      </c>
      <c r="O206" s="11"/>
      <c r="P206" s="7">
        <v>0.05</v>
      </c>
    </row>
    <row r="207" spans="1:16">
      <c r="A207" s="1" t="s">
        <v>544</v>
      </c>
      <c r="B207" s="2" t="s">
        <v>16</v>
      </c>
      <c r="C207" s="2" t="s">
        <v>17</v>
      </c>
      <c r="D207" s="2" t="s">
        <v>37</v>
      </c>
      <c r="E207" s="2" t="s">
        <v>19</v>
      </c>
      <c r="F207" s="2" t="s">
        <v>548</v>
      </c>
      <c r="G207" s="2" t="s">
        <v>549</v>
      </c>
      <c r="H207" s="2" t="s">
        <v>22</v>
      </c>
      <c r="I207" s="2" t="s">
        <v>546</v>
      </c>
      <c r="J207" s="6">
        <v>1392</v>
      </c>
      <c r="K207" s="26">
        <v>43049</v>
      </c>
      <c r="L207" s="14"/>
      <c r="M207" s="2" t="s">
        <v>44</v>
      </c>
      <c r="N207" s="2" t="s">
        <v>25</v>
      </c>
      <c r="O207" s="11"/>
      <c r="P207" s="7">
        <v>0.05</v>
      </c>
    </row>
    <row r="208" spans="1:16">
      <c r="A208" s="1" t="s">
        <v>544</v>
      </c>
      <c r="B208" s="2" t="s">
        <v>16</v>
      </c>
      <c r="C208" s="2" t="s">
        <v>17</v>
      </c>
      <c r="D208" s="2" t="s">
        <v>28</v>
      </c>
      <c r="E208" s="2" t="s">
        <v>19</v>
      </c>
      <c r="F208" s="2" t="s">
        <v>103</v>
      </c>
      <c r="G208" s="2" t="s">
        <v>550</v>
      </c>
      <c r="H208" s="2" t="s">
        <v>22</v>
      </c>
      <c r="I208" s="2" t="s">
        <v>546</v>
      </c>
      <c r="J208" s="6">
        <v>1</v>
      </c>
      <c r="K208" s="26">
        <v>41658</v>
      </c>
      <c r="L208" s="14"/>
      <c r="M208" s="2" t="s">
        <v>49</v>
      </c>
      <c r="N208" s="2" t="s">
        <v>25</v>
      </c>
      <c r="O208" s="11"/>
      <c r="P208" s="7">
        <v>0.03</v>
      </c>
    </row>
    <row r="209" spans="1:16">
      <c r="A209" s="1" t="s">
        <v>551</v>
      </c>
      <c r="B209" s="2" t="s">
        <v>16</v>
      </c>
      <c r="C209" s="2" t="s">
        <v>17</v>
      </c>
      <c r="D209" s="2" t="s">
        <v>28</v>
      </c>
      <c r="E209" s="2" t="s">
        <v>19</v>
      </c>
      <c r="F209" s="2" t="s">
        <v>154</v>
      </c>
      <c r="G209" s="2" t="s">
        <v>552</v>
      </c>
      <c r="H209" s="2" t="s">
        <v>22</v>
      </c>
      <c r="I209" s="2" t="s">
        <v>553</v>
      </c>
      <c r="J209" s="6">
        <v>1249</v>
      </c>
      <c r="K209" s="26">
        <v>42906</v>
      </c>
      <c r="L209" s="14"/>
      <c r="M209" s="2" t="s">
        <v>41</v>
      </c>
      <c r="N209" s="2" t="s">
        <v>25</v>
      </c>
      <c r="O209" s="11">
        <v>1E-3</v>
      </c>
      <c r="P209" s="7">
        <v>0.05</v>
      </c>
    </row>
    <row r="210" spans="1:16">
      <c r="A210" s="1" t="s">
        <v>551</v>
      </c>
      <c r="B210" s="2" t="s">
        <v>16</v>
      </c>
      <c r="C210" s="2" t="s">
        <v>17</v>
      </c>
      <c r="D210" s="2" t="s">
        <v>28</v>
      </c>
      <c r="E210" s="2" t="s">
        <v>19</v>
      </c>
      <c r="F210" s="2" t="s">
        <v>124</v>
      </c>
      <c r="G210" s="2" t="s">
        <v>554</v>
      </c>
      <c r="H210" s="2" t="s">
        <v>22</v>
      </c>
      <c r="I210" s="2" t="s">
        <v>553</v>
      </c>
      <c r="J210" s="6">
        <v>1249</v>
      </c>
      <c r="K210" s="26">
        <v>42906</v>
      </c>
      <c r="L210" s="14"/>
      <c r="M210" s="2" t="s">
        <v>44</v>
      </c>
      <c r="N210" s="2" t="s">
        <v>25</v>
      </c>
      <c r="O210" s="11">
        <v>1E-3</v>
      </c>
      <c r="P210" s="7">
        <v>0.05</v>
      </c>
    </row>
    <row r="211" spans="1:16">
      <c r="A211" s="1" t="s">
        <v>551</v>
      </c>
      <c r="B211" s="2" t="s">
        <v>16</v>
      </c>
      <c r="C211" s="2" t="s">
        <v>17</v>
      </c>
      <c r="D211" s="2" t="s">
        <v>28</v>
      </c>
      <c r="E211" s="2" t="s">
        <v>19</v>
      </c>
      <c r="F211" s="2" t="s">
        <v>304</v>
      </c>
      <c r="G211" s="2" t="s">
        <v>555</v>
      </c>
      <c r="H211" s="2" t="s">
        <v>22</v>
      </c>
      <c r="I211" s="2" t="s">
        <v>553</v>
      </c>
      <c r="J211" s="6">
        <v>1249</v>
      </c>
      <c r="K211" s="26">
        <v>42906</v>
      </c>
      <c r="L211" s="14"/>
      <c r="M211" s="2" t="s">
        <v>49</v>
      </c>
      <c r="N211" s="2" t="s">
        <v>25</v>
      </c>
      <c r="O211" s="11">
        <v>1E-3</v>
      </c>
      <c r="P211" s="7">
        <v>0.05</v>
      </c>
    </row>
    <row r="212" spans="1:16" ht="26">
      <c r="A212" s="1" t="s">
        <v>556</v>
      </c>
      <c r="B212" s="2" t="s">
        <v>64</v>
      </c>
      <c r="C212" s="2" t="s">
        <v>17</v>
      </c>
      <c r="D212" s="2" t="s">
        <v>18</v>
      </c>
      <c r="E212" s="2" t="s">
        <v>51</v>
      </c>
      <c r="F212" s="2" t="s">
        <v>557</v>
      </c>
      <c r="G212" s="2" t="s">
        <v>558</v>
      </c>
      <c r="H212" s="2" t="s">
        <v>294</v>
      </c>
      <c r="I212" s="2" t="s">
        <v>559</v>
      </c>
      <c r="J212" s="6">
        <v>2</v>
      </c>
      <c r="K212" s="26">
        <v>41659</v>
      </c>
      <c r="L212" s="14" t="s">
        <v>70</v>
      </c>
      <c r="M212" s="2" t="s">
        <v>24</v>
      </c>
      <c r="N212" s="2" t="s">
        <v>56</v>
      </c>
      <c r="O212" s="11"/>
      <c r="P212" s="7"/>
    </row>
    <row r="213" spans="1:16" ht="26">
      <c r="A213" s="1" t="s">
        <v>560</v>
      </c>
      <c r="B213" s="2" t="s">
        <v>64</v>
      </c>
      <c r="C213" s="2" t="s">
        <v>17</v>
      </c>
      <c r="D213" s="2" t="s">
        <v>37</v>
      </c>
      <c r="E213" s="2" t="s">
        <v>19</v>
      </c>
      <c r="F213" s="2" t="s">
        <v>412</v>
      </c>
      <c r="G213" s="2" t="s">
        <v>561</v>
      </c>
      <c r="H213" s="2" t="s">
        <v>22</v>
      </c>
      <c r="I213" s="2" t="s">
        <v>562</v>
      </c>
      <c r="J213" s="6">
        <v>654</v>
      </c>
      <c r="K213" s="26">
        <v>42311</v>
      </c>
      <c r="L213" s="14" t="s">
        <v>70</v>
      </c>
      <c r="M213" s="2" t="s">
        <v>24</v>
      </c>
      <c r="N213" s="2" t="s">
        <v>25</v>
      </c>
      <c r="O213" s="11">
        <v>1E-3</v>
      </c>
      <c r="P213" s="7"/>
    </row>
    <row r="214" spans="1:16" ht="26">
      <c r="A214" s="1" t="s">
        <v>560</v>
      </c>
      <c r="B214" s="2" t="s">
        <v>64</v>
      </c>
      <c r="C214" s="2" t="s">
        <v>17</v>
      </c>
      <c r="D214" s="2" t="s">
        <v>37</v>
      </c>
      <c r="E214" s="2" t="s">
        <v>19</v>
      </c>
      <c r="F214" s="2" t="s">
        <v>239</v>
      </c>
      <c r="G214" s="2" t="s">
        <v>563</v>
      </c>
      <c r="H214" s="2" t="s">
        <v>22</v>
      </c>
      <c r="I214" s="2" t="s">
        <v>562</v>
      </c>
      <c r="J214" s="6">
        <v>1018</v>
      </c>
      <c r="K214" s="26">
        <v>42675</v>
      </c>
      <c r="L214" s="14" t="s">
        <v>70</v>
      </c>
      <c r="M214" s="2" t="s">
        <v>41</v>
      </c>
      <c r="N214" s="2" t="s">
        <v>25</v>
      </c>
      <c r="O214" s="11">
        <v>1E-3</v>
      </c>
      <c r="P214" s="7"/>
    </row>
    <row r="215" spans="1:16" ht="26">
      <c r="A215" s="1" t="s">
        <v>560</v>
      </c>
      <c r="B215" s="2" t="s">
        <v>64</v>
      </c>
      <c r="C215" s="2" t="s">
        <v>17</v>
      </c>
      <c r="D215" s="2" t="s">
        <v>37</v>
      </c>
      <c r="E215" s="2" t="s">
        <v>19</v>
      </c>
      <c r="F215" s="2" t="s">
        <v>84</v>
      </c>
      <c r="G215" s="2" t="s">
        <v>564</v>
      </c>
      <c r="H215" s="2" t="s">
        <v>22</v>
      </c>
      <c r="I215" s="2" t="s">
        <v>562</v>
      </c>
      <c r="J215" s="6">
        <v>1018</v>
      </c>
      <c r="K215" s="26">
        <v>42675</v>
      </c>
      <c r="L215" s="14" t="s">
        <v>70</v>
      </c>
      <c r="M215" s="2" t="s">
        <v>44</v>
      </c>
      <c r="N215" s="2" t="s">
        <v>25</v>
      </c>
      <c r="O215" s="11">
        <v>1E-3</v>
      </c>
      <c r="P215" s="7"/>
    </row>
    <row r="216" spans="1:16">
      <c r="A216" s="1" t="s">
        <v>106</v>
      </c>
      <c r="B216" s="2" t="s">
        <v>16</v>
      </c>
      <c r="C216" s="2" t="s">
        <v>36</v>
      </c>
      <c r="D216" s="2" t="s">
        <v>37</v>
      </c>
      <c r="E216" s="2" t="s">
        <v>19</v>
      </c>
      <c r="F216" s="2" t="s">
        <v>87</v>
      </c>
      <c r="G216" s="2" t="s">
        <v>565</v>
      </c>
      <c r="H216" s="2" t="s">
        <v>22</v>
      </c>
      <c r="I216" s="2" t="s">
        <v>109</v>
      </c>
      <c r="J216" s="6">
        <v>1028</v>
      </c>
      <c r="K216" s="26">
        <v>42685</v>
      </c>
      <c r="L216" s="14"/>
      <c r="M216" s="2" t="s">
        <v>49</v>
      </c>
      <c r="N216" s="2" t="s">
        <v>25</v>
      </c>
      <c r="O216" s="11">
        <v>1E-3</v>
      </c>
      <c r="P216" s="7">
        <v>0.05</v>
      </c>
    </row>
    <row r="217" spans="1:16">
      <c r="A217" s="1" t="s">
        <v>110</v>
      </c>
      <c r="B217" s="2" t="s">
        <v>16</v>
      </c>
      <c r="C217" s="2" t="s">
        <v>36</v>
      </c>
      <c r="D217" s="2" t="s">
        <v>37</v>
      </c>
      <c r="E217" s="2" t="s">
        <v>19</v>
      </c>
      <c r="F217" s="2" t="s">
        <v>87</v>
      </c>
      <c r="G217" s="2" t="s">
        <v>566</v>
      </c>
      <c r="H217" s="2" t="s">
        <v>32</v>
      </c>
      <c r="I217" s="2" t="s">
        <v>112</v>
      </c>
      <c r="J217" s="6">
        <v>1028</v>
      </c>
      <c r="K217" s="26">
        <v>42685</v>
      </c>
      <c r="L217" s="14"/>
      <c r="M217" s="2" t="s">
        <v>41</v>
      </c>
      <c r="N217" s="2" t="s">
        <v>25</v>
      </c>
      <c r="O217" s="11">
        <v>1E-3</v>
      </c>
      <c r="P217" s="7">
        <v>0.05</v>
      </c>
    </row>
    <row r="218" spans="1:16">
      <c r="A218" s="1" t="s">
        <v>106</v>
      </c>
      <c r="B218" s="2" t="s">
        <v>16</v>
      </c>
      <c r="C218" s="2" t="s">
        <v>36</v>
      </c>
      <c r="D218" s="2" t="s">
        <v>37</v>
      </c>
      <c r="E218" s="2" t="s">
        <v>19</v>
      </c>
      <c r="F218" s="2" t="s">
        <v>379</v>
      </c>
      <c r="G218" s="2" t="s">
        <v>567</v>
      </c>
      <c r="H218" s="2" t="s">
        <v>22</v>
      </c>
      <c r="I218" s="2" t="s">
        <v>109</v>
      </c>
      <c r="J218" s="6">
        <v>1614</v>
      </c>
      <c r="K218" s="26">
        <v>43271</v>
      </c>
      <c r="L218" s="14"/>
      <c r="M218" s="2" t="s">
        <v>44</v>
      </c>
      <c r="N218" s="2" t="s">
        <v>25</v>
      </c>
      <c r="O218" s="11">
        <v>1E-3</v>
      </c>
      <c r="P218" s="7">
        <v>0.05</v>
      </c>
    </row>
    <row r="219" spans="1:16">
      <c r="A219" s="1" t="s">
        <v>110</v>
      </c>
      <c r="B219" s="2" t="s">
        <v>16</v>
      </c>
      <c r="C219" s="2" t="s">
        <v>36</v>
      </c>
      <c r="D219" s="2" t="s">
        <v>37</v>
      </c>
      <c r="E219" s="2" t="s">
        <v>19</v>
      </c>
      <c r="F219" s="2" t="s">
        <v>379</v>
      </c>
      <c r="G219" s="2" t="s">
        <v>567</v>
      </c>
      <c r="H219" s="2" t="s">
        <v>32</v>
      </c>
      <c r="I219" s="2" t="s">
        <v>112</v>
      </c>
      <c r="J219" s="6">
        <v>1614</v>
      </c>
      <c r="K219" s="26">
        <v>43271</v>
      </c>
      <c r="L219" s="14"/>
      <c r="M219" s="2" t="s">
        <v>44</v>
      </c>
      <c r="N219" s="2" t="s">
        <v>25</v>
      </c>
      <c r="O219" s="11">
        <v>1E-3</v>
      </c>
      <c r="P219" s="7">
        <v>0.05</v>
      </c>
    </row>
    <row r="220" spans="1:16">
      <c r="A220" s="1" t="s">
        <v>106</v>
      </c>
      <c r="B220" s="2" t="s">
        <v>16</v>
      </c>
      <c r="C220" s="2" t="s">
        <v>36</v>
      </c>
      <c r="D220" s="2" t="s">
        <v>328</v>
      </c>
      <c r="E220" s="2" t="s">
        <v>19</v>
      </c>
      <c r="F220" s="2" t="s">
        <v>568</v>
      </c>
      <c r="G220" s="2" t="s">
        <v>569</v>
      </c>
      <c r="H220" s="2" t="s">
        <v>22</v>
      </c>
      <c r="I220" s="2" t="s">
        <v>109</v>
      </c>
      <c r="J220" s="6">
        <v>1583</v>
      </c>
      <c r="K220" s="26">
        <v>43240</v>
      </c>
      <c r="L220" s="14"/>
      <c r="M220" s="2" t="s">
        <v>49</v>
      </c>
      <c r="N220" s="2" t="s">
        <v>25</v>
      </c>
      <c r="O220" s="11">
        <v>1E-3</v>
      </c>
      <c r="P220" s="7">
        <v>0.05</v>
      </c>
    </row>
    <row r="221" spans="1:16" ht="26">
      <c r="A221" s="1" t="s">
        <v>570</v>
      </c>
      <c r="B221" s="2" t="s">
        <v>64</v>
      </c>
      <c r="C221" s="2" t="s">
        <v>36</v>
      </c>
      <c r="D221" s="2" t="s">
        <v>18</v>
      </c>
      <c r="E221" s="2" t="s">
        <v>19</v>
      </c>
      <c r="F221" s="2" t="s">
        <v>571</v>
      </c>
      <c r="G221" s="2" t="s">
        <v>572</v>
      </c>
      <c r="H221" s="2" t="s">
        <v>22</v>
      </c>
      <c r="I221" s="2" t="s">
        <v>573</v>
      </c>
      <c r="J221" s="6">
        <v>1400</v>
      </c>
      <c r="K221" s="26">
        <v>43057</v>
      </c>
      <c r="L221" s="14" t="s">
        <v>70</v>
      </c>
      <c r="M221" s="2" t="s">
        <v>44</v>
      </c>
      <c r="N221" s="2" t="s">
        <v>25</v>
      </c>
      <c r="O221" s="11">
        <v>1E-3</v>
      </c>
      <c r="P221" s="7"/>
    </row>
    <row r="222" spans="1:16">
      <c r="A222" s="1" t="s">
        <v>574</v>
      </c>
      <c r="B222" s="2" t="s">
        <v>16</v>
      </c>
      <c r="C222" s="2" t="s">
        <v>17</v>
      </c>
      <c r="D222" s="2" t="s">
        <v>28</v>
      </c>
      <c r="E222" s="2" t="s">
        <v>19</v>
      </c>
      <c r="F222" s="2" t="s">
        <v>107</v>
      </c>
      <c r="G222" s="2" t="s">
        <v>575</v>
      </c>
      <c r="H222" s="2" t="s">
        <v>22</v>
      </c>
      <c r="I222" s="2" t="s">
        <v>576</v>
      </c>
      <c r="J222" s="6">
        <v>1046</v>
      </c>
      <c r="K222" s="26">
        <v>42703</v>
      </c>
      <c r="L222" s="14"/>
      <c r="M222" s="2" t="s">
        <v>44</v>
      </c>
      <c r="N222" s="2" t="s">
        <v>25</v>
      </c>
      <c r="O222" s="11">
        <v>1E-3</v>
      </c>
      <c r="P222" s="7">
        <v>0.05</v>
      </c>
    </row>
    <row r="223" spans="1:16">
      <c r="A223" s="1" t="s">
        <v>574</v>
      </c>
      <c r="B223" s="2" t="s">
        <v>16</v>
      </c>
      <c r="C223" s="2" t="s">
        <v>17</v>
      </c>
      <c r="D223" s="2" t="s">
        <v>28</v>
      </c>
      <c r="E223" s="2" t="s">
        <v>19</v>
      </c>
      <c r="F223" s="2" t="s">
        <v>433</v>
      </c>
      <c r="G223" s="2" t="s">
        <v>577</v>
      </c>
      <c r="H223" s="2" t="s">
        <v>22</v>
      </c>
      <c r="I223" s="2" t="s">
        <v>576</v>
      </c>
      <c r="J223" s="6">
        <v>1411</v>
      </c>
      <c r="K223" s="26">
        <v>43068</v>
      </c>
      <c r="L223" s="14"/>
      <c r="M223" s="2" t="s">
        <v>49</v>
      </c>
      <c r="N223" s="2" t="s">
        <v>25</v>
      </c>
      <c r="O223" s="11">
        <v>1E-3</v>
      </c>
      <c r="P223" s="7">
        <v>0.05</v>
      </c>
    </row>
    <row r="224" spans="1:16">
      <c r="A224" s="1" t="s">
        <v>574</v>
      </c>
      <c r="B224" s="2" t="s">
        <v>16</v>
      </c>
      <c r="C224" s="2" t="s">
        <v>36</v>
      </c>
      <c r="D224" s="2" t="s">
        <v>328</v>
      </c>
      <c r="E224" s="2" t="s">
        <v>19</v>
      </c>
      <c r="F224" s="2" t="s">
        <v>578</v>
      </c>
      <c r="G224" s="2" t="s">
        <v>579</v>
      </c>
      <c r="H224" s="2" t="s">
        <v>22</v>
      </c>
      <c r="I224" s="2" t="s">
        <v>576</v>
      </c>
      <c r="J224" s="6">
        <v>1776</v>
      </c>
      <c r="K224" s="26">
        <v>43433</v>
      </c>
      <c r="L224" s="14"/>
      <c r="M224" s="2" t="s">
        <v>49</v>
      </c>
      <c r="N224" s="2" t="s">
        <v>25</v>
      </c>
      <c r="O224" s="11">
        <v>1E-3</v>
      </c>
      <c r="P224" s="7">
        <v>0.05</v>
      </c>
    </row>
    <row r="225" spans="1:16">
      <c r="A225" s="1" t="s">
        <v>395</v>
      </c>
      <c r="B225" s="2" t="s">
        <v>16</v>
      </c>
      <c r="C225" s="2" t="s">
        <v>27</v>
      </c>
      <c r="D225" s="2" t="s">
        <v>72</v>
      </c>
      <c r="E225" s="2" t="s">
        <v>19</v>
      </c>
      <c r="F225" s="2" t="s">
        <v>57</v>
      </c>
      <c r="G225" s="2" t="s">
        <v>580</v>
      </c>
      <c r="H225" s="2" t="s">
        <v>22</v>
      </c>
      <c r="I225" s="2" t="s">
        <v>398</v>
      </c>
      <c r="J225" s="6">
        <v>1002</v>
      </c>
      <c r="K225" s="26">
        <v>42659</v>
      </c>
      <c r="L225" s="14"/>
      <c r="M225" s="2" t="s">
        <v>49</v>
      </c>
      <c r="N225" s="2" t="s">
        <v>25</v>
      </c>
      <c r="O225" s="11">
        <v>1E-3</v>
      </c>
      <c r="P225" s="7">
        <v>0.05</v>
      </c>
    </row>
    <row r="226" spans="1:16" ht="26">
      <c r="A226" s="1" t="s">
        <v>63</v>
      </c>
      <c r="B226" s="2" t="s">
        <v>64</v>
      </c>
      <c r="C226" s="2" t="s">
        <v>65</v>
      </c>
      <c r="D226" s="2" t="s">
        <v>37</v>
      </c>
      <c r="E226" s="2" t="s">
        <v>51</v>
      </c>
      <c r="F226" s="2" t="s">
        <v>57</v>
      </c>
      <c r="G226" s="2" t="s">
        <v>581</v>
      </c>
      <c r="H226" s="2" t="s">
        <v>68</v>
      </c>
      <c r="I226" s="2" t="s">
        <v>69</v>
      </c>
      <c r="J226" s="6">
        <v>646</v>
      </c>
      <c r="K226" s="26">
        <v>42303</v>
      </c>
      <c r="L226" s="14" t="s">
        <v>70</v>
      </c>
      <c r="M226" s="2" t="s">
        <v>44</v>
      </c>
      <c r="N226" s="2" t="s">
        <v>56</v>
      </c>
      <c r="O226" s="11"/>
      <c r="P226" s="7"/>
    </row>
    <row r="227" spans="1:16">
      <c r="A227" s="1" t="s">
        <v>582</v>
      </c>
      <c r="B227" s="2" t="s">
        <v>16</v>
      </c>
      <c r="C227" s="2" t="s">
        <v>27</v>
      </c>
      <c r="D227" s="2" t="s">
        <v>18</v>
      </c>
      <c r="E227" s="2" t="s">
        <v>19</v>
      </c>
      <c r="F227" s="2" t="s">
        <v>148</v>
      </c>
      <c r="G227" s="2" t="s">
        <v>583</v>
      </c>
      <c r="H227" s="2" t="s">
        <v>22</v>
      </c>
      <c r="I227" s="2" t="s">
        <v>584</v>
      </c>
      <c r="J227" s="6">
        <v>1249</v>
      </c>
      <c r="K227" s="26">
        <v>42906</v>
      </c>
      <c r="L227" s="14"/>
      <c r="M227" s="2" t="s">
        <v>24</v>
      </c>
      <c r="N227" s="2" t="s">
        <v>25</v>
      </c>
      <c r="O227" s="11">
        <v>1E-3</v>
      </c>
      <c r="P227" s="7">
        <v>0.05</v>
      </c>
    </row>
    <row r="228" spans="1:16">
      <c r="A228" s="1" t="s">
        <v>585</v>
      </c>
      <c r="B228" s="2" t="s">
        <v>16</v>
      </c>
      <c r="C228" s="2" t="s">
        <v>17</v>
      </c>
      <c r="D228" s="2" t="s">
        <v>28</v>
      </c>
      <c r="E228" s="2" t="s">
        <v>19</v>
      </c>
      <c r="F228" s="2" t="s">
        <v>84</v>
      </c>
      <c r="G228" s="2" t="s">
        <v>586</v>
      </c>
      <c r="H228" s="2" t="s">
        <v>22</v>
      </c>
      <c r="I228" s="2" t="s">
        <v>587</v>
      </c>
      <c r="J228" s="6">
        <v>1054</v>
      </c>
      <c r="K228" s="26">
        <v>42711</v>
      </c>
      <c r="L228" s="14"/>
      <c r="M228" s="2" t="s">
        <v>49</v>
      </c>
      <c r="N228" s="2" t="s">
        <v>25</v>
      </c>
      <c r="O228" s="11">
        <v>1E-3</v>
      </c>
      <c r="P228" s="7">
        <v>0.05</v>
      </c>
    </row>
    <row r="229" spans="1:16">
      <c r="A229" s="1" t="s">
        <v>585</v>
      </c>
      <c r="B229" s="2" t="s">
        <v>16</v>
      </c>
      <c r="C229" s="2" t="s">
        <v>17</v>
      </c>
      <c r="D229" s="2" t="s">
        <v>28</v>
      </c>
      <c r="E229" s="2" t="s">
        <v>19</v>
      </c>
      <c r="F229" s="2" t="s">
        <v>588</v>
      </c>
      <c r="G229" s="2" t="s">
        <v>589</v>
      </c>
      <c r="H229" s="2" t="s">
        <v>22</v>
      </c>
      <c r="I229" s="2" t="s">
        <v>587</v>
      </c>
      <c r="J229" s="6">
        <v>1419</v>
      </c>
      <c r="K229" s="26">
        <v>43076</v>
      </c>
      <c r="L229" s="14"/>
      <c r="M229" s="2" t="s">
        <v>44</v>
      </c>
      <c r="N229" s="2" t="s">
        <v>25</v>
      </c>
      <c r="O229" s="2">
        <v>1E-3</v>
      </c>
      <c r="P229" s="7">
        <v>0.05</v>
      </c>
    </row>
    <row r="230" spans="1:16">
      <c r="A230" s="1" t="s">
        <v>585</v>
      </c>
      <c r="B230" s="2" t="s">
        <v>16</v>
      </c>
      <c r="C230" s="2" t="s">
        <v>36</v>
      </c>
      <c r="D230" s="2" t="s">
        <v>328</v>
      </c>
      <c r="E230" s="2" t="s">
        <v>19</v>
      </c>
      <c r="F230" s="2" t="s">
        <v>76</v>
      </c>
      <c r="G230" s="2" t="s">
        <v>590</v>
      </c>
      <c r="H230" s="2" t="s">
        <v>22</v>
      </c>
      <c r="I230" s="2" t="s">
        <v>587</v>
      </c>
      <c r="J230" s="6">
        <v>1614</v>
      </c>
      <c r="K230" s="26">
        <v>43271</v>
      </c>
      <c r="L230" s="14"/>
      <c r="M230" s="2" t="s">
        <v>49</v>
      </c>
      <c r="N230" s="2" t="s">
        <v>25</v>
      </c>
      <c r="O230" s="2">
        <v>1E-3</v>
      </c>
      <c r="P230" s="7">
        <v>0.05</v>
      </c>
    </row>
    <row r="231" spans="1:16" ht="26">
      <c r="A231" s="1" t="s">
        <v>591</v>
      </c>
      <c r="B231" s="2" t="s">
        <v>64</v>
      </c>
      <c r="C231" s="2" t="s">
        <v>36</v>
      </c>
      <c r="D231" s="2" t="s">
        <v>37</v>
      </c>
      <c r="E231" s="2" t="s">
        <v>19</v>
      </c>
      <c r="F231" s="2" t="s">
        <v>103</v>
      </c>
      <c r="G231" s="2" t="s">
        <v>592</v>
      </c>
      <c r="H231" s="2" t="s">
        <v>22</v>
      </c>
      <c r="I231" s="2" t="s">
        <v>593</v>
      </c>
      <c r="J231" s="6">
        <v>683</v>
      </c>
      <c r="K231" s="26">
        <v>42340</v>
      </c>
      <c r="L231" s="14" t="s">
        <v>70</v>
      </c>
      <c r="M231" s="2" t="s">
        <v>41</v>
      </c>
      <c r="N231" s="2" t="s">
        <v>25</v>
      </c>
      <c r="O231" s="1"/>
      <c r="P231" s="7"/>
    </row>
    <row r="232" spans="1:16">
      <c r="A232" s="1" t="s">
        <v>594</v>
      </c>
      <c r="B232" s="2" t="s">
        <v>16</v>
      </c>
      <c r="C232" s="2" t="s">
        <v>36</v>
      </c>
      <c r="D232" s="2" t="s">
        <v>18</v>
      </c>
      <c r="E232" s="2" t="s">
        <v>19</v>
      </c>
      <c r="F232" s="2" t="s">
        <v>154</v>
      </c>
      <c r="G232" s="2" t="s">
        <v>595</v>
      </c>
      <c r="H232" s="2" t="s">
        <v>22</v>
      </c>
      <c r="I232" s="2" t="s">
        <v>596</v>
      </c>
      <c r="J232" s="6">
        <v>712</v>
      </c>
      <c r="K232" s="26">
        <v>42369</v>
      </c>
      <c r="L232" s="14"/>
      <c r="M232" s="2" t="s">
        <v>49</v>
      </c>
      <c r="N232" s="2" t="s">
        <v>25</v>
      </c>
      <c r="O232" s="11">
        <v>1E-3</v>
      </c>
      <c r="P232" s="7">
        <v>0.05</v>
      </c>
    </row>
    <row r="233" spans="1:16">
      <c r="A233" s="1" t="s">
        <v>594</v>
      </c>
      <c r="B233" s="2" t="s">
        <v>16</v>
      </c>
      <c r="C233" s="2" t="s">
        <v>36</v>
      </c>
      <c r="D233" s="2" t="s">
        <v>18</v>
      </c>
      <c r="E233" s="2" t="s">
        <v>19</v>
      </c>
      <c r="F233" s="2" t="s">
        <v>30</v>
      </c>
      <c r="G233" s="2" t="s">
        <v>597</v>
      </c>
      <c r="H233" s="2" t="s">
        <v>22</v>
      </c>
      <c r="I233" s="2" t="s">
        <v>596</v>
      </c>
      <c r="J233" s="6">
        <v>1430</v>
      </c>
      <c r="K233" s="26">
        <v>43087</v>
      </c>
      <c r="L233" s="14"/>
      <c r="M233" s="2" t="s">
        <v>24</v>
      </c>
      <c r="N233" s="2" t="s">
        <v>25</v>
      </c>
      <c r="O233" s="2">
        <v>1E-3</v>
      </c>
      <c r="P233" s="7">
        <v>0.05</v>
      </c>
    </row>
    <row r="234" spans="1:16">
      <c r="A234" s="1" t="s">
        <v>594</v>
      </c>
      <c r="B234" s="2" t="s">
        <v>16</v>
      </c>
      <c r="C234" s="2" t="s">
        <v>327</v>
      </c>
      <c r="D234" s="2" t="s">
        <v>328</v>
      </c>
      <c r="E234" s="2" t="s">
        <v>19</v>
      </c>
      <c r="F234" s="2" t="s">
        <v>201</v>
      </c>
      <c r="G234" s="2" t="s">
        <v>598</v>
      </c>
      <c r="H234" s="2" t="s">
        <v>22</v>
      </c>
      <c r="I234" s="2" t="s">
        <v>596</v>
      </c>
      <c r="J234" s="6">
        <v>1614</v>
      </c>
      <c r="K234" s="26">
        <v>43271</v>
      </c>
      <c r="L234" s="14"/>
      <c r="M234" s="2" t="s">
        <v>41</v>
      </c>
      <c r="N234" s="2" t="s">
        <v>25</v>
      </c>
      <c r="O234" s="2">
        <v>1E-3</v>
      </c>
      <c r="P234" s="7">
        <v>0.05</v>
      </c>
    </row>
    <row r="235" spans="1:16" ht="26">
      <c r="A235" s="1" t="s">
        <v>599</v>
      </c>
      <c r="B235" s="2" t="s">
        <v>64</v>
      </c>
      <c r="C235" s="2" t="s">
        <v>17</v>
      </c>
      <c r="D235" s="2" t="s">
        <v>72</v>
      </c>
      <c r="E235" s="2" t="s">
        <v>19</v>
      </c>
      <c r="F235" s="2" t="s">
        <v>600</v>
      </c>
      <c r="G235" s="2" t="s">
        <v>601</v>
      </c>
      <c r="H235" s="2" t="s">
        <v>32</v>
      </c>
      <c r="I235" s="2" t="s">
        <v>602</v>
      </c>
      <c r="J235" s="6">
        <v>1426</v>
      </c>
      <c r="K235" s="26">
        <v>43083</v>
      </c>
      <c r="L235" s="14" t="s">
        <v>70</v>
      </c>
      <c r="M235" s="2" t="s">
        <v>49</v>
      </c>
      <c r="N235" s="2" t="s">
        <v>25</v>
      </c>
      <c r="O235" s="2">
        <v>1E-3</v>
      </c>
      <c r="P235" s="7"/>
    </row>
    <row r="236" spans="1:16" ht="26">
      <c r="A236" s="1" t="s">
        <v>599</v>
      </c>
      <c r="B236" s="2" t="s">
        <v>64</v>
      </c>
      <c r="C236" s="2" t="s">
        <v>17</v>
      </c>
      <c r="D236" s="2" t="s">
        <v>72</v>
      </c>
      <c r="E236" s="2" t="s">
        <v>19</v>
      </c>
      <c r="F236" s="2" t="s">
        <v>600</v>
      </c>
      <c r="G236" s="2" t="s">
        <v>603</v>
      </c>
      <c r="H236" s="2" t="s">
        <v>32</v>
      </c>
      <c r="I236" s="2" t="s">
        <v>602</v>
      </c>
      <c r="J236" s="6">
        <v>1426</v>
      </c>
      <c r="K236" s="26">
        <v>43083</v>
      </c>
      <c r="L236" s="14" t="s">
        <v>70</v>
      </c>
      <c r="M236" s="2" t="s">
        <v>44</v>
      </c>
      <c r="N236" s="2" t="s">
        <v>25</v>
      </c>
      <c r="O236" s="2">
        <v>1E-3</v>
      </c>
      <c r="P236" s="7"/>
    </row>
    <row r="237" spans="1:16">
      <c r="A237" s="1" t="s">
        <v>604</v>
      </c>
      <c r="B237" s="2" t="s">
        <v>16</v>
      </c>
      <c r="C237" s="2" t="s">
        <v>27</v>
      </c>
      <c r="D237" s="2">
        <v>6</v>
      </c>
      <c r="E237" s="2" t="s">
        <v>19</v>
      </c>
      <c r="F237" s="2" t="s">
        <v>379</v>
      </c>
      <c r="G237" s="2" t="s">
        <v>605</v>
      </c>
      <c r="H237" s="2" t="s">
        <v>22</v>
      </c>
      <c r="I237" s="2" t="s">
        <v>606</v>
      </c>
      <c r="J237" s="6">
        <v>682</v>
      </c>
      <c r="K237" s="26">
        <v>42339</v>
      </c>
      <c r="L237" s="14"/>
      <c r="M237" s="2" t="s">
        <v>24</v>
      </c>
      <c r="N237" s="2" t="s">
        <v>25</v>
      </c>
      <c r="O237" s="2">
        <v>1E-3</v>
      </c>
      <c r="P237" s="7">
        <v>0.05</v>
      </c>
    </row>
    <row r="238" spans="1:16" ht="26">
      <c r="A238" s="1" t="s">
        <v>607</v>
      </c>
      <c r="B238" s="2" t="s">
        <v>64</v>
      </c>
      <c r="C238" s="2" t="s">
        <v>17</v>
      </c>
      <c r="D238" s="2" t="s">
        <v>28</v>
      </c>
      <c r="E238" s="2" t="s">
        <v>19</v>
      </c>
      <c r="F238" s="2" t="s">
        <v>201</v>
      </c>
      <c r="G238" s="2" t="s">
        <v>608</v>
      </c>
      <c r="H238" s="2" t="s">
        <v>22</v>
      </c>
      <c r="I238" s="2" t="s">
        <v>609</v>
      </c>
      <c r="J238" s="6">
        <v>1430</v>
      </c>
      <c r="K238" s="26">
        <v>43087</v>
      </c>
      <c r="L238" s="14" t="s">
        <v>70</v>
      </c>
      <c r="M238" s="2" t="s">
        <v>41</v>
      </c>
      <c r="N238" s="2" t="s">
        <v>25</v>
      </c>
      <c r="O238" s="1"/>
      <c r="P238" s="7"/>
    </row>
    <row r="239" spans="1:16" ht="26">
      <c r="A239" s="1" t="s">
        <v>120</v>
      </c>
      <c r="B239" s="2" t="s">
        <v>64</v>
      </c>
      <c r="C239" s="2" t="s">
        <v>17</v>
      </c>
      <c r="D239" s="2" t="s">
        <v>28</v>
      </c>
      <c r="E239" s="2" t="s">
        <v>19</v>
      </c>
      <c r="F239" s="2" t="s">
        <v>107</v>
      </c>
      <c r="G239" s="2" t="s">
        <v>610</v>
      </c>
      <c r="H239" s="2" t="s">
        <v>22</v>
      </c>
      <c r="I239" s="2" t="s">
        <v>122</v>
      </c>
      <c r="J239" s="6">
        <v>1117</v>
      </c>
      <c r="K239" s="26">
        <v>42774</v>
      </c>
      <c r="L239" s="14" t="s">
        <v>70</v>
      </c>
      <c r="M239" s="2" t="s">
        <v>41</v>
      </c>
      <c r="N239" s="2" t="s">
        <v>25</v>
      </c>
      <c r="O239" s="1"/>
      <c r="P239" s="7"/>
    </row>
    <row r="240" spans="1:16" ht="26">
      <c r="A240" s="1" t="s">
        <v>120</v>
      </c>
      <c r="B240" s="2" t="s">
        <v>64</v>
      </c>
      <c r="C240" s="2" t="s">
        <v>17</v>
      </c>
      <c r="D240" s="2" t="s">
        <v>28</v>
      </c>
      <c r="E240" s="2" t="s">
        <v>19</v>
      </c>
      <c r="F240" s="2" t="s">
        <v>401</v>
      </c>
      <c r="G240" s="2" t="s">
        <v>611</v>
      </c>
      <c r="H240" s="2" t="s">
        <v>22</v>
      </c>
      <c r="I240" s="2" t="s">
        <v>122</v>
      </c>
      <c r="J240" s="6">
        <v>1478</v>
      </c>
      <c r="K240" s="26">
        <v>43135</v>
      </c>
      <c r="L240" s="14" t="s">
        <v>70</v>
      </c>
      <c r="M240" s="2" t="s">
        <v>49</v>
      </c>
      <c r="N240" s="2" t="s">
        <v>25</v>
      </c>
      <c r="O240" s="1"/>
      <c r="P240" s="7"/>
    </row>
    <row r="241" spans="1:16" ht="26">
      <c r="A241" s="1" t="s">
        <v>612</v>
      </c>
      <c r="B241" s="2" t="s">
        <v>64</v>
      </c>
      <c r="C241" s="2" t="s">
        <v>17</v>
      </c>
      <c r="D241" s="2" t="s">
        <v>37</v>
      </c>
      <c r="E241" s="2" t="s">
        <v>19</v>
      </c>
      <c r="F241" s="2" t="s">
        <v>103</v>
      </c>
      <c r="G241" s="2" t="s">
        <v>613</v>
      </c>
      <c r="H241" s="2" t="s">
        <v>22</v>
      </c>
      <c r="I241" s="2" t="s">
        <v>614</v>
      </c>
      <c r="J241" s="6">
        <v>1103</v>
      </c>
      <c r="K241" s="26">
        <v>42760</v>
      </c>
      <c r="L241" s="14" t="s">
        <v>70</v>
      </c>
      <c r="M241" s="2" t="s">
        <v>24</v>
      </c>
      <c r="N241" s="2" t="s">
        <v>25</v>
      </c>
      <c r="O241" s="1"/>
      <c r="P241" s="7"/>
    </row>
    <row r="242" spans="1:16" ht="26">
      <c r="A242" s="1" t="s">
        <v>607</v>
      </c>
      <c r="B242" s="2" t="s">
        <v>64</v>
      </c>
      <c r="C242" s="2" t="s">
        <v>17</v>
      </c>
      <c r="D242" s="2" t="s">
        <v>28</v>
      </c>
      <c r="E242" s="2" t="s">
        <v>19</v>
      </c>
      <c r="F242" s="2" t="s">
        <v>487</v>
      </c>
      <c r="G242" s="2" t="s">
        <v>615</v>
      </c>
      <c r="H242" s="2" t="s">
        <v>22</v>
      </c>
      <c r="I242" s="2" t="s">
        <v>609</v>
      </c>
      <c r="J242" s="6">
        <v>699</v>
      </c>
      <c r="K242" s="26">
        <v>42356</v>
      </c>
      <c r="L242" s="14" t="s">
        <v>70</v>
      </c>
      <c r="M242" s="2" t="s">
        <v>44</v>
      </c>
      <c r="N242" s="2" t="s">
        <v>25</v>
      </c>
      <c r="O242" s="1"/>
      <c r="P242" s="7"/>
    </row>
    <row r="243" spans="1:16" ht="26">
      <c r="A243" s="1" t="s">
        <v>612</v>
      </c>
      <c r="B243" s="2" t="s">
        <v>64</v>
      </c>
      <c r="C243" s="2" t="s">
        <v>17</v>
      </c>
      <c r="D243" s="2" t="s">
        <v>37</v>
      </c>
      <c r="E243" s="2" t="s">
        <v>19</v>
      </c>
      <c r="F243" s="2" t="s">
        <v>616</v>
      </c>
      <c r="G243" s="2" t="s">
        <v>617</v>
      </c>
      <c r="H243" s="2" t="s">
        <v>22</v>
      </c>
      <c r="I243" s="2" t="s">
        <v>614</v>
      </c>
      <c r="J243" s="6">
        <v>1468</v>
      </c>
      <c r="K243" s="26">
        <v>43125</v>
      </c>
      <c r="L243" s="14" t="s">
        <v>70</v>
      </c>
      <c r="M243" s="2" t="s">
        <v>41</v>
      </c>
      <c r="N243" s="2" t="s">
        <v>25</v>
      </c>
      <c r="O243" s="1"/>
      <c r="P243" s="7"/>
    </row>
    <row r="244" spans="1:16" ht="26">
      <c r="A244" s="1" t="s">
        <v>618</v>
      </c>
      <c r="B244" s="2" t="s">
        <v>64</v>
      </c>
      <c r="C244" s="2" t="s">
        <v>27</v>
      </c>
      <c r="D244" s="2" t="s">
        <v>72</v>
      </c>
      <c r="E244" s="2" t="s">
        <v>19</v>
      </c>
      <c r="F244" s="2" t="s">
        <v>232</v>
      </c>
      <c r="G244" s="2" t="s">
        <v>619</v>
      </c>
      <c r="H244" s="2" t="s">
        <v>22</v>
      </c>
      <c r="I244" s="2" t="s">
        <v>620</v>
      </c>
      <c r="J244" s="6">
        <v>885</v>
      </c>
      <c r="K244" s="26">
        <v>42542</v>
      </c>
      <c r="L244" s="14" t="s">
        <v>70</v>
      </c>
      <c r="M244" s="2" t="s">
        <v>24</v>
      </c>
      <c r="N244" s="2" t="s">
        <v>25</v>
      </c>
      <c r="O244" s="2">
        <v>1E-3</v>
      </c>
      <c r="P244" s="7"/>
    </row>
    <row r="245" spans="1:16" ht="26">
      <c r="A245" s="1" t="s">
        <v>618</v>
      </c>
      <c r="B245" s="2" t="s">
        <v>64</v>
      </c>
      <c r="C245" s="2" t="s">
        <v>27</v>
      </c>
      <c r="D245" s="2" t="s">
        <v>72</v>
      </c>
      <c r="E245" s="2" t="s">
        <v>19</v>
      </c>
      <c r="F245" s="2" t="s">
        <v>621</v>
      </c>
      <c r="G245" s="2" t="s">
        <v>622</v>
      </c>
      <c r="H245" s="2" t="s">
        <v>22</v>
      </c>
      <c r="I245" s="2" t="s">
        <v>620</v>
      </c>
      <c r="J245" s="6">
        <v>1614</v>
      </c>
      <c r="K245" s="26">
        <v>43271</v>
      </c>
      <c r="L245" s="14" t="s">
        <v>70</v>
      </c>
      <c r="M245" s="2" t="s">
        <v>41</v>
      </c>
      <c r="N245" s="2" t="s">
        <v>25</v>
      </c>
      <c r="O245" s="2">
        <v>1E-3</v>
      </c>
      <c r="P245" s="7"/>
    </row>
    <row r="246" spans="1:16" ht="26">
      <c r="A246" s="1" t="s">
        <v>618</v>
      </c>
      <c r="B246" s="2" t="s">
        <v>64</v>
      </c>
      <c r="C246" s="2" t="s">
        <v>36</v>
      </c>
      <c r="D246" s="2" t="s">
        <v>328</v>
      </c>
      <c r="E246" s="2" t="s">
        <v>19</v>
      </c>
      <c r="F246" s="2" t="s">
        <v>623</v>
      </c>
      <c r="G246" s="2" t="s">
        <v>624</v>
      </c>
      <c r="H246" s="2" t="s">
        <v>22</v>
      </c>
      <c r="I246" s="2" t="s">
        <v>620</v>
      </c>
      <c r="J246" s="6">
        <v>1979</v>
      </c>
      <c r="K246" s="26">
        <v>43636</v>
      </c>
      <c r="L246" s="14" t="s">
        <v>70</v>
      </c>
      <c r="M246" s="2" t="s">
        <v>49</v>
      </c>
      <c r="N246" s="2" t="s">
        <v>25</v>
      </c>
      <c r="O246" s="2">
        <v>1E-3</v>
      </c>
      <c r="P246" s="7"/>
    </row>
    <row r="247" spans="1:16">
      <c r="A247" s="1" t="s">
        <v>15</v>
      </c>
      <c r="B247" s="2" t="s">
        <v>16</v>
      </c>
      <c r="C247" s="2" t="s">
        <v>17</v>
      </c>
      <c r="D247" s="2" t="s">
        <v>18</v>
      </c>
      <c r="E247" s="2" t="s">
        <v>19</v>
      </c>
      <c r="F247" s="2" t="s">
        <v>20</v>
      </c>
      <c r="G247" s="2" t="s">
        <v>625</v>
      </c>
      <c r="H247" s="2" t="s">
        <v>22</v>
      </c>
      <c r="I247" s="2" t="s">
        <v>23</v>
      </c>
      <c r="J247" s="6">
        <v>1113</v>
      </c>
      <c r="K247" s="26">
        <v>42770</v>
      </c>
      <c r="L247" s="14"/>
      <c r="M247" s="2" t="s">
        <v>41</v>
      </c>
      <c r="N247" s="2" t="s">
        <v>25</v>
      </c>
      <c r="O247" s="1"/>
      <c r="P247" s="7">
        <v>0.03</v>
      </c>
    </row>
    <row r="248" spans="1:16">
      <c r="A248" s="1" t="s">
        <v>15</v>
      </c>
      <c r="B248" s="2" t="s">
        <v>16</v>
      </c>
      <c r="C248" s="2" t="s">
        <v>17</v>
      </c>
      <c r="D248" s="2" t="s">
        <v>18</v>
      </c>
      <c r="E248" s="2" t="s">
        <v>19</v>
      </c>
      <c r="F248" s="2" t="s">
        <v>626</v>
      </c>
      <c r="G248" s="2" t="s">
        <v>627</v>
      </c>
      <c r="H248" s="2" t="s">
        <v>22</v>
      </c>
      <c r="I248" s="2" t="s">
        <v>23</v>
      </c>
      <c r="J248" s="6">
        <v>1479</v>
      </c>
      <c r="K248" s="26">
        <v>43136</v>
      </c>
      <c r="L248" s="14"/>
      <c r="M248" s="2" t="s">
        <v>49</v>
      </c>
      <c r="N248" s="2" t="s">
        <v>25</v>
      </c>
      <c r="O248" s="1"/>
      <c r="P248" s="7">
        <v>0.03</v>
      </c>
    </row>
    <row r="249" spans="1:16">
      <c r="A249" s="1" t="s">
        <v>15</v>
      </c>
      <c r="B249" s="2" t="s">
        <v>16</v>
      </c>
      <c r="C249" s="2" t="s">
        <v>17</v>
      </c>
      <c r="D249" s="2" t="s">
        <v>18</v>
      </c>
      <c r="E249" s="2" t="s">
        <v>19</v>
      </c>
      <c r="F249" s="2" t="s">
        <v>201</v>
      </c>
      <c r="G249" s="2" t="s">
        <v>628</v>
      </c>
      <c r="H249" s="2" t="s">
        <v>22</v>
      </c>
      <c r="I249" s="2" t="s">
        <v>23</v>
      </c>
      <c r="J249" s="6">
        <v>1478</v>
      </c>
      <c r="K249" s="26">
        <v>43135</v>
      </c>
      <c r="L249" s="14"/>
      <c r="M249" s="2" t="s">
        <v>24</v>
      </c>
      <c r="N249" s="2" t="s">
        <v>25</v>
      </c>
      <c r="O249" s="1"/>
      <c r="P249" s="7">
        <v>0.03</v>
      </c>
    </row>
    <row r="250" spans="1:16">
      <c r="A250" s="1" t="s">
        <v>629</v>
      </c>
      <c r="B250" s="2" t="s">
        <v>16</v>
      </c>
      <c r="C250" s="2" t="s">
        <v>17</v>
      </c>
      <c r="D250" s="2" t="s">
        <v>28</v>
      </c>
      <c r="E250" s="2" t="s">
        <v>19</v>
      </c>
      <c r="F250" s="2" t="s">
        <v>154</v>
      </c>
      <c r="G250" s="2" t="s">
        <v>630</v>
      </c>
      <c r="H250" s="2" t="s">
        <v>22</v>
      </c>
      <c r="I250" s="2" t="s">
        <v>631</v>
      </c>
      <c r="J250" s="6">
        <v>931</v>
      </c>
      <c r="K250" s="26">
        <v>42588</v>
      </c>
      <c r="L250" s="14"/>
      <c r="M250" s="2" t="s">
        <v>49</v>
      </c>
      <c r="N250" s="2" t="s">
        <v>25</v>
      </c>
      <c r="O250" s="2">
        <v>1E-3</v>
      </c>
      <c r="P250" s="7">
        <v>0.05</v>
      </c>
    </row>
    <row r="251" spans="1:16">
      <c r="A251" s="1" t="s">
        <v>629</v>
      </c>
      <c r="B251" s="2" t="s">
        <v>16</v>
      </c>
      <c r="C251" s="2" t="s">
        <v>17</v>
      </c>
      <c r="D251" s="2" t="s">
        <v>28</v>
      </c>
      <c r="E251" s="2" t="s">
        <v>19</v>
      </c>
      <c r="F251" s="2" t="s">
        <v>632</v>
      </c>
      <c r="G251" s="2" t="s">
        <v>633</v>
      </c>
      <c r="H251" s="2" t="s">
        <v>22</v>
      </c>
      <c r="I251" s="2" t="s">
        <v>631</v>
      </c>
      <c r="J251" s="6">
        <v>1296</v>
      </c>
      <c r="K251" s="26">
        <v>42953</v>
      </c>
      <c r="L251" s="14"/>
      <c r="M251" s="2" t="s">
        <v>24</v>
      </c>
      <c r="N251" s="2" t="s">
        <v>25</v>
      </c>
      <c r="O251" s="2">
        <v>1E-3</v>
      </c>
      <c r="P251" s="7">
        <v>0.05</v>
      </c>
    </row>
    <row r="252" spans="1:16" ht="26">
      <c r="A252" s="1" t="s">
        <v>634</v>
      </c>
      <c r="B252" s="2" t="s">
        <v>64</v>
      </c>
      <c r="C252" s="2" t="s">
        <v>17</v>
      </c>
      <c r="D252" s="2" t="s">
        <v>28</v>
      </c>
      <c r="E252" s="2" t="s">
        <v>19</v>
      </c>
      <c r="F252" s="2" t="s">
        <v>635</v>
      </c>
      <c r="G252" s="2" t="s">
        <v>636</v>
      </c>
      <c r="H252" s="2" t="s">
        <v>22</v>
      </c>
      <c r="I252" s="2" t="s">
        <v>637</v>
      </c>
      <c r="J252" s="6">
        <v>1666</v>
      </c>
      <c r="K252" s="26">
        <v>43323</v>
      </c>
      <c r="L252" s="14" t="s">
        <v>70</v>
      </c>
      <c r="M252" s="2" t="s">
        <v>49</v>
      </c>
      <c r="N252" s="2" t="s">
        <v>25</v>
      </c>
      <c r="O252" s="1"/>
      <c r="P252" s="7"/>
    </row>
    <row r="253" spans="1:16" ht="26">
      <c r="A253" s="1" t="s">
        <v>634</v>
      </c>
      <c r="B253" s="2" t="s">
        <v>64</v>
      </c>
      <c r="C253" s="2" t="s">
        <v>17</v>
      </c>
      <c r="D253" s="2" t="s">
        <v>28</v>
      </c>
      <c r="E253" s="2" t="s">
        <v>19</v>
      </c>
      <c r="F253" s="2" t="s">
        <v>46</v>
      </c>
      <c r="G253" s="2" t="s">
        <v>638</v>
      </c>
      <c r="H253" s="2" t="s">
        <v>22</v>
      </c>
      <c r="I253" s="2" t="s">
        <v>637</v>
      </c>
      <c r="J253" s="6">
        <v>1117</v>
      </c>
      <c r="K253" s="26">
        <v>42774</v>
      </c>
      <c r="L253" s="14" t="s">
        <v>70</v>
      </c>
      <c r="M253" s="2" t="s">
        <v>24</v>
      </c>
      <c r="N253" s="2" t="s">
        <v>25</v>
      </c>
      <c r="O253" s="1"/>
      <c r="P253" s="7"/>
    </row>
    <row r="254" spans="1:16">
      <c r="A254" s="1" t="s">
        <v>639</v>
      </c>
      <c r="B254" s="2" t="s">
        <v>16</v>
      </c>
      <c r="C254" s="2" t="s">
        <v>93</v>
      </c>
      <c r="D254" s="2" t="s">
        <v>37</v>
      </c>
      <c r="E254" s="2" t="s">
        <v>19</v>
      </c>
      <c r="F254" s="2" t="s">
        <v>128</v>
      </c>
      <c r="G254" s="2" t="s">
        <v>640</v>
      </c>
      <c r="H254" s="2" t="s">
        <v>22</v>
      </c>
      <c r="I254" s="2" t="s">
        <v>641</v>
      </c>
      <c r="J254" s="6">
        <v>818</v>
      </c>
      <c r="K254" s="26">
        <v>42475</v>
      </c>
      <c r="L254" s="14"/>
      <c r="M254" s="2" t="s">
        <v>49</v>
      </c>
      <c r="N254" s="2" t="s">
        <v>25</v>
      </c>
      <c r="O254" s="2">
        <v>1E-3</v>
      </c>
      <c r="P254" s="7">
        <v>0.05</v>
      </c>
    </row>
    <row r="255" spans="1:16">
      <c r="A255" s="1" t="s">
        <v>639</v>
      </c>
      <c r="B255" s="2" t="s">
        <v>16</v>
      </c>
      <c r="C255" s="2" t="s">
        <v>93</v>
      </c>
      <c r="D255" s="2" t="s">
        <v>18</v>
      </c>
      <c r="E255" s="2" t="s">
        <v>19</v>
      </c>
      <c r="F255" s="2" t="s">
        <v>128</v>
      </c>
      <c r="G255" s="2" t="s">
        <v>642</v>
      </c>
      <c r="H255" s="2" t="s">
        <v>22</v>
      </c>
      <c r="I255" s="2" t="s">
        <v>641</v>
      </c>
      <c r="J255" s="6">
        <v>818</v>
      </c>
      <c r="K255" s="26">
        <v>42475</v>
      </c>
      <c r="L255" s="14"/>
      <c r="M255" s="2" t="s">
        <v>24</v>
      </c>
      <c r="N255" s="2" t="s">
        <v>25</v>
      </c>
      <c r="O255" s="2">
        <v>1E-3</v>
      </c>
      <c r="P255" s="7">
        <v>0.05</v>
      </c>
    </row>
    <row r="256" spans="1:16">
      <c r="A256" s="1" t="s">
        <v>594</v>
      </c>
      <c r="B256" s="2" t="s">
        <v>16</v>
      </c>
      <c r="C256" s="2" t="s">
        <v>36</v>
      </c>
      <c r="D256" s="2" t="s">
        <v>18</v>
      </c>
      <c r="E256" s="2" t="s">
        <v>19</v>
      </c>
      <c r="F256" s="2" t="s">
        <v>643</v>
      </c>
      <c r="G256" s="2" t="s">
        <v>644</v>
      </c>
      <c r="H256" s="2" t="s">
        <v>22</v>
      </c>
      <c r="I256" s="2" t="s">
        <v>596</v>
      </c>
      <c r="J256" s="6">
        <v>1430</v>
      </c>
      <c r="K256" s="26">
        <v>43087</v>
      </c>
      <c r="L256" s="14"/>
      <c r="M256" s="2" t="s">
        <v>44</v>
      </c>
      <c r="N256" s="2" t="s">
        <v>25</v>
      </c>
      <c r="O256" s="2">
        <v>1E-3</v>
      </c>
      <c r="P256" s="7">
        <v>0.05</v>
      </c>
    </row>
    <row r="257" spans="1:16" ht="26">
      <c r="A257" s="1" t="s">
        <v>645</v>
      </c>
      <c r="B257" s="2" t="s">
        <v>64</v>
      </c>
      <c r="C257" s="2" t="s">
        <v>27</v>
      </c>
      <c r="D257" s="2" t="s">
        <v>72</v>
      </c>
      <c r="E257" s="2" t="s">
        <v>19</v>
      </c>
      <c r="F257" s="2" t="s">
        <v>154</v>
      </c>
      <c r="G257" s="2" t="s">
        <v>646</v>
      </c>
      <c r="H257" s="2" t="s">
        <v>22</v>
      </c>
      <c r="I257" s="2" t="s">
        <v>647</v>
      </c>
      <c r="J257" s="6">
        <v>1249</v>
      </c>
      <c r="K257" s="26">
        <v>42906</v>
      </c>
      <c r="L257" s="14" t="s">
        <v>70</v>
      </c>
      <c r="M257" s="2" t="s">
        <v>41</v>
      </c>
      <c r="N257" s="2" t="s">
        <v>25</v>
      </c>
      <c r="O257" s="2">
        <v>1E-3</v>
      </c>
      <c r="P257" s="7"/>
    </row>
    <row r="258" spans="1:16" ht="26">
      <c r="A258" s="1" t="s">
        <v>645</v>
      </c>
      <c r="B258" s="2" t="s">
        <v>64</v>
      </c>
      <c r="C258" s="2" t="s">
        <v>27</v>
      </c>
      <c r="D258" s="2" t="s">
        <v>72</v>
      </c>
      <c r="E258" s="2" t="s">
        <v>19</v>
      </c>
      <c r="F258" s="2" t="s">
        <v>103</v>
      </c>
      <c r="G258" s="2" t="s">
        <v>648</v>
      </c>
      <c r="H258" s="2" t="s">
        <v>22</v>
      </c>
      <c r="I258" s="2" t="s">
        <v>647</v>
      </c>
      <c r="J258" s="6">
        <v>1614</v>
      </c>
      <c r="K258" s="26">
        <v>43271</v>
      </c>
      <c r="L258" s="14" t="s">
        <v>70</v>
      </c>
      <c r="M258" s="2" t="s">
        <v>44</v>
      </c>
      <c r="N258" s="2" t="s">
        <v>25</v>
      </c>
      <c r="O258" s="2">
        <v>1E-3</v>
      </c>
      <c r="P258" s="7"/>
    </row>
    <row r="259" spans="1:16" ht="26">
      <c r="A259" s="1" t="s">
        <v>645</v>
      </c>
      <c r="B259" s="2" t="s">
        <v>64</v>
      </c>
      <c r="C259" s="2" t="s">
        <v>17</v>
      </c>
      <c r="D259" s="2" t="s">
        <v>28</v>
      </c>
      <c r="E259" s="2" t="s">
        <v>19</v>
      </c>
      <c r="F259" s="2" t="s">
        <v>239</v>
      </c>
      <c r="G259" s="2" t="s">
        <v>649</v>
      </c>
      <c r="H259" s="2" t="s">
        <v>22</v>
      </c>
      <c r="I259" s="2" t="s">
        <v>647</v>
      </c>
      <c r="J259" s="6">
        <v>1614</v>
      </c>
      <c r="K259" s="26">
        <v>43271</v>
      </c>
      <c r="L259" s="14" t="s">
        <v>70</v>
      </c>
      <c r="M259" s="2" t="s">
        <v>49</v>
      </c>
      <c r="N259" s="2" t="s">
        <v>25</v>
      </c>
      <c r="O259" s="2">
        <v>1E-3</v>
      </c>
      <c r="P259" s="7"/>
    </row>
    <row r="260" spans="1:16">
      <c r="A260" s="1" t="s">
        <v>650</v>
      </c>
      <c r="B260" s="2" t="s">
        <v>16</v>
      </c>
      <c r="C260" s="2" t="s">
        <v>93</v>
      </c>
      <c r="D260" s="2">
        <v>3</v>
      </c>
      <c r="E260" s="2" t="s">
        <v>51</v>
      </c>
      <c r="F260" s="2" t="s">
        <v>422</v>
      </c>
      <c r="G260" s="2" t="s">
        <v>651</v>
      </c>
      <c r="H260" s="2" t="s">
        <v>126</v>
      </c>
      <c r="I260" s="2" t="s">
        <v>652</v>
      </c>
      <c r="J260" s="6">
        <v>1</v>
      </c>
      <c r="K260" s="26">
        <v>41658</v>
      </c>
      <c r="L260" s="14"/>
      <c r="M260" s="2" t="s">
        <v>24</v>
      </c>
      <c r="N260" s="2" t="s">
        <v>56</v>
      </c>
      <c r="O260" s="1"/>
      <c r="P260" s="7">
        <v>0.05</v>
      </c>
    </row>
    <row r="261" spans="1:16" ht="26">
      <c r="A261" s="1" t="s">
        <v>653</v>
      </c>
      <c r="B261" s="2" t="s">
        <v>64</v>
      </c>
      <c r="C261" s="2" t="s">
        <v>27</v>
      </c>
      <c r="D261" s="2" t="s">
        <v>72</v>
      </c>
      <c r="E261" s="2" t="s">
        <v>19</v>
      </c>
      <c r="F261" s="2" t="s">
        <v>57</v>
      </c>
      <c r="G261" s="2" t="s">
        <v>654</v>
      </c>
      <c r="H261" s="2" t="s">
        <v>22</v>
      </c>
      <c r="I261" s="2" t="s">
        <v>655</v>
      </c>
      <c r="J261" s="6">
        <v>518</v>
      </c>
      <c r="K261" s="26">
        <v>42175</v>
      </c>
      <c r="L261" s="14" t="s">
        <v>70</v>
      </c>
      <c r="M261" s="2" t="s">
        <v>41</v>
      </c>
      <c r="N261" s="2" t="s">
        <v>25</v>
      </c>
      <c r="O261" s="2">
        <v>1E-3</v>
      </c>
      <c r="P261" s="7"/>
    </row>
    <row r="262" spans="1:16">
      <c r="A262" s="1" t="s">
        <v>656</v>
      </c>
      <c r="B262" s="2" t="s">
        <v>16</v>
      </c>
      <c r="C262" s="2" t="s">
        <v>65</v>
      </c>
      <c r="D262" s="2">
        <v>1</v>
      </c>
      <c r="E262" s="2" t="s">
        <v>29</v>
      </c>
      <c r="F262" s="2" t="s">
        <v>57</v>
      </c>
      <c r="G262" s="2" t="s">
        <v>657</v>
      </c>
      <c r="H262" s="2" t="s">
        <v>32</v>
      </c>
      <c r="I262" s="2" t="s">
        <v>658</v>
      </c>
      <c r="J262" s="6">
        <v>181</v>
      </c>
      <c r="K262" s="26">
        <v>41838</v>
      </c>
      <c r="L262" s="14"/>
      <c r="M262" s="2" t="s">
        <v>49</v>
      </c>
      <c r="N262" s="2" t="s">
        <v>34</v>
      </c>
      <c r="O262" s="1"/>
      <c r="P262" s="7"/>
    </row>
    <row r="263" spans="1:16">
      <c r="A263" s="1" t="s">
        <v>659</v>
      </c>
      <c r="B263" s="2" t="s">
        <v>16</v>
      </c>
      <c r="C263" s="2" t="s">
        <v>93</v>
      </c>
      <c r="D263" s="2" t="s">
        <v>72</v>
      </c>
      <c r="E263" s="2" t="s">
        <v>19</v>
      </c>
      <c r="F263" s="2" t="s">
        <v>251</v>
      </c>
      <c r="G263" s="2" t="s">
        <v>660</v>
      </c>
      <c r="H263" s="2" t="s">
        <v>22</v>
      </c>
      <c r="I263" s="2" t="s">
        <v>661</v>
      </c>
      <c r="J263" s="6">
        <v>1023</v>
      </c>
      <c r="K263" s="26">
        <v>42680</v>
      </c>
      <c r="L263" s="14"/>
      <c r="M263" s="2" t="s">
        <v>49</v>
      </c>
      <c r="N263" s="2" t="s">
        <v>25</v>
      </c>
      <c r="O263" s="2">
        <v>1E-3</v>
      </c>
      <c r="P263" s="7">
        <v>0.05</v>
      </c>
    </row>
    <row r="264" spans="1:16">
      <c r="A264" s="1" t="s">
        <v>659</v>
      </c>
      <c r="B264" s="2" t="s">
        <v>16</v>
      </c>
      <c r="C264" s="2" t="s">
        <v>93</v>
      </c>
      <c r="D264" s="2" t="s">
        <v>72</v>
      </c>
      <c r="E264" s="2" t="s">
        <v>19</v>
      </c>
      <c r="F264" s="2" t="s">
        <v>148</v>
      </c>
      <c r="G264" s="2" t="s">
        <v>662</v>
      </c>
      <c r="H264" s="2" t="s">
        <v>22</v>
      </c>
      <c r="I264" s="2" t="s">
        <v>661</v>
      </c>
      <c r="J264" s="6">
        <v>1023</v>
      </c>
      <c r="K264" s="26">
        <v>42680</v>
      </c>
      <c r="L264" s="14"/>
      <c r="M264" s="2" t="s">
        <v>24</v>
      </c>
      <c r="N264" s="2" t="s">
        <v>25</v>
      </c>
      <c r="O264" s="2">
        <v>1E-3</v>
      </c>
      <c r="P264" s="7">
        <v>0.05</v>
      </c>
    </row>
    <row r="265" spans="1:16">
      <c r="A265" s="1" t="s">
        <v>663</v>
      </c>
      <c r="B265" s="2" t="s">
        <v>16</v>
      </c>
      <c r="C265" s="2" t="s">
        <v>65</v>
      </c>
      <c r="D265" s="2" t="s">
        <v>28</v>
      </c>
      <c r="E265" s="2" t="s">
        <v>51</v>
      </c>
      <c r="F265" s="2" t="s">
        <v>664</v>
      </c>
      <c r="G265" s="2" t="s">
        <v>665</v>
      </c>
      <c r="H265" s="2" t="s">
        <v>54</v>
      </c>
      <c r="I265" s="2" t="s">
        <v>666</v>
      </c>
      <c r="J265" s="6">
        <v>944</v>
      </c>
      <c r="K265" s="26">
        <v>42601</v>
      </c>
      <c r="L265" s="14"/>
      <c r="M265" s="2" t="s">
        <v>41</v>
      </c>
      <c r="N265" s="2" t="s">
        <v>56</v>
      </c>
      <c r="O265" s="2">
        <v>1E-3</v>
      </c>
      <c r="P265" s="7">
        <v>0.05</v>
      </c>
    </row>
    <row r="266" spans="1:16">
      <c r="A266" s="1" t="s">
        <v>663</v>
      </c>
      <c r="B266" s="2" t="s">
        <v>16</v>
      </c>
      <c r="C266" s="2" t="s">
        <v>27</v>
      </c>
      <c r="D266" s="2" t="s">
        <v>28</v>
      </c>
      <c r="E266" s="2" t="s">
        <v>51</v>
      </c>
      <c r="F266" s="2" t="s">
        <v>664</v>
      </c>
      <c r="G266" s="2" t="s">
        <v>667</v>
      </c>
      <c r="H266" s="2" t="s">
        <v>54</v>
      </c>
      <c r="I266" s="2" t="s">
        <v>666</v>
      </c>
      <c r="J266" s="6">
        <v>944</v>
      </c>
      <c r="K266" s="26">
        <v>42601</v>
      </c>
      <c r="L266" s="14"/>
      <c r="M266" s="2" t="s">
        <v>44</v>
      </c>
      <c r="N266" s="2" t="s">
        <v>56</v>
      </c>
      <c r="O266" s="2">
        <v>1E-3</v>
      </c>
      <c r="P266" s="7">
        <v>0.05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0" bestFit="1" customWidth="1"/>
    <col min="2" max="2" width="15.81640625" customWidth="1"/>
    <col min="3" max="3" width="15.36328125" bestFit="1" customWidth="1"/>
    <col min="4" max="4" width="13.81640625" bestFit="1" customWidth="1"/>
  </cols>
  <sheetData>
    <row r="1" spans="1:4">
      <c r="A1" t="s">
        <v>205</v>
      </c>
    </row>
    <row r="3" spans="1:4">
      <c r="A3" s="17" t="s">
        <v>677</v>
      </c>
      <c r="B3" s="8" t="s">
        <v>205</v>
      </c>
      <c r="C3" s="17" t="s">
        <v>678</v>
      </c>
      <c r="D3" s="8" t="s">
        <v>679</v>
      </c>
    </row>
    <row r="4" spans="1:4">
      <c r="A4" s="17" t="s">
        <v>680</v>
      </c>
      <c r="B4" s="8" t="s">
        <v>766</v>
      </c>
      <c r="C4" s="17" t="s">
        <v>681</v>
      </c>
      <c r="D4" s="8" t="s">
        <v>682</v>
      </c>
    </row>
    <row r="5" spans="1:4">
      <c r="A5" s="17" t="s">
        <v>683</v>
      </c>
      <c r="B5" s="8" t="s">
        <v>684</v>
      </c>
      <c r="C5" s="17" t="s">
        <v>685</v>
      </c>
      <c r="D5" s="40" t="s">
        <v>763</v>
      </c>
    </row>
    <row r="6" spans="1:4">
      <c r="A6" s="17" t="s">
        <v>686</v>
      </c>
      <c r="B6" s="39">
        <f>Intro!F5</f>
        <v>41657</v>
      </c>
      <c r="C6" s="17"/>
      <c r="D6" s="8"/>
    </row>
    <row r="9" spans="1:4">
      <c r="A9" s="18" t="s">
        <v>687</v>
      </c>
      <c r="B9" s="8">
        <v>0</v>
      </c>
    </row>
    <row r="10" spans="1:4">
      <c r="A10" s="8">
        <v>1</v>
      </c>
      <c r="B10" s="8">
        <v>4.742479E-3</v>
      </c>
    </row>
    <row r="11" spans="1:4">
      <c r="A11" s="8">
        <v>7</v>
      </c>
      <c r="B11" s="8">
        <v>4.7400146999999997E-3</v>
      </c>
    </row>
    <row r="12" spans="1:4">
      <c r="A12" s="8">
        <v>30</v>
      </c>
      <c r="B12" s="8">
        <v>4.8795827999999998E-3</v>
      </c>
    </row>
    <row r="13" spans="1:4">
      <c r="A13" s="8">
        <v>60</v>
      </c>
      <c r="B13" s="8">
        <v>4.9975178999999998E-3</v>
      </c>
    </row>
    <row r="14" spans="1:4">
      <c r="A14" s="8">
        <v>90</v>
      </c>
      <c r="B14" s="8">
        <v>5.1509946999999997E-3</v>
      </c>
    </row>
    <row r="15" spans="1:4">
      <c r="A15" s="8">
        <v>180</v>
      </c>
      <c r="B15" s="8">
        <v>5.8502857999999996E-3</v>
      </c>
    </row>
    <row r="16" spans="1:4">
      <c r="A16" s="8">
        <v>270</v>
      </c>
      <c r="B16" s="8">
        <v>7.2184444999999998E-3</v>
      </c>
    </row>
    <row r="17" spans="1:2">
      <c r="A17" s="8">
        <v>360</v>
      </c>
      <c r="B17" s="8">
        <v>8.6155782999999993E-3</v>
      </c>
    </row>
    <row r="18" spans="1:2">
      <c r="A18" s="8">
        <v>730</v>
      </c>
      <c r="B18" s="8">
        <v>8.4103114000000003E-3</v>
      </c>
    </row>
    <row r="19" spans="1:2">
      <c r="A19" s="8">
        <v>1095</v>
      </c>
      <c r="B19" s="8">
        <v>1.13554824E-2</v>
      </c>
    </row>
    <row r="20" spans="1:2">
      <c r="A20" s="8">
        <v>1825</v>
      </c>
      <c r="B20" s="8">
        <v>1.7660728600000002E-2</v>
      </c>
    </row>
    <row r="21" spans="1:2">
      <c r="A21" s="8">
        <v>3650</v>
      </c>
      <c r="B21" s="8">
        <v>2.8147917599999999E-2</v>
      </c>
    </row>
    <row r="22" spans="1:2">
      <c r="A22" s="8">
        <v>5475</v>
      </c>
      <c r="B22" s="8">
        <v>3.26849024E-2</v>
      </c>
    </row>
    <row r="23" spans="1:2">
      <c r="A23" s="8">
        <v>7300</v>
      </c>
      <c r="B23" s="8">
        <v>3.4563895800000001E-2</v>
      </c>
    </row>
  </sheetData>
  <hyperlinks>
    <hyperlink ref="D5" location="SubVCV3!A1" display="SubVCV3" xr:uid="{00000000-0004-0000-0D00-000000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1.36328125" customWidth="1"/>
    <col min="2" max="2" width="14.453125" customWidth="1"/>
    <col min="3" max="3" width="22" customWidth="1"/>
    <col min="4" max="4" width="16.1796875" customWidth="1"/>
  </cols>
  <sheetData>
    <row r="1" spans="1:4">
      <c r="A1" t="s">
        <v>56</v>
      </c>
    </row>
    <row r="3" spans="1:4">
      <c r="A3" s="17" t="s">
        <v>677</v>
      </c>
      <c r="B3" s="8" t="s">
        <v>56</v>
      </c>
      <c r="C3" s="17" t="s">
        <v>678</v>
      </c>
      <c r="D3" s="8" t="s">
        <v>679</v>
      </c>
    </row>
    <row r="4" spans="1:4">
      <c r="A4" s="17" t="s">
        <v>680</v>
      </c>
      <c r="B4" s="8" t="s">
        <v>764</v>
      </c>
      <c r="C4" s="17" t="s">
        <v>681</v>
      </c>
      <c r="D4" s="8" t="s">
        <v>682</v>
      </c>
    </row>
    <row r="5" spans="1:4">
      <c r="A5" s="17" t="s">
        <v>683</v>
      </c>
      <c r="B5" s="8" t="s">
        <v>684</v>
      </c>
      <c r="C5" s="17" t="s">
        <v>685</v>
      </c>
      <c r="D5" s="40" t="s">
        <v>763</v>
      </c>
    </row>
    <row r="6" spans="1:4">
      <c r="A6" s="17" t="s">
        <v>686</v>
      </c>
      <c r="B6" s="39">
        <f>Intro!F5</f>
        <v>41657</v>
      </c>
      <c r="C6" s="17"/>
      <c r="D6" s="8"/>
    </row>
    <row r="9" spans="1:4">
      <c r="A9" s="18" t="s">
        <v>687</v>
      </c>
      <c r="B9" s="8">
        <v>0</v>
      </c>
    </row>
    <row r="10" spans="1:4">
      <c r="A10" s="8">
        <v>1</v>
      </c>
      <c r="B10" s="8">
        <v>1.5011219999999999E-3</v>
      </c>
    </row>
    <row r="11" spans="1:4">
      <c r="A11" s="8">
        <v>7</v>
      </c>
      <c r="B11" s="8">
        <v>1.2289060000000001E-3</v>
      </c>
    </row>
    <row r="12" spans="1:4">
      <c r="A12" s="8">
        <v>30</v>
      </c>
      <c r="B12" s="8">
        <v>1.2608261000000001E-3</v>
      </c>
    </row>
    <row r="13" spans="1:4">
      <c r="A13" s="8">
        <v>60</v>
      </c>
      <c r="B13" s="8">
        <v>1.6743226E-3</v>
      </c>
    </row>
    <row r="14" spans="1:4">
      <c r="A14" s="8">
        <v>90</v>
      </c>
      <c r="B14" s="8">
        <v>2.1719952E-3</v>
      </c>
    </row>
    <row r="15" spans="1:4">
      <c r="A15" s="8">
        <v>180</v>
      </c>
      <c r="B15" s="8">
        <v>3.3253614999999999E-3</v>
      </c>
    </row>
    <row r="16" spans="1:4">
      <c r="A16" s="8">
        <v>270</v>
      </c>
      <c r="B16" s="8">
        <v>4.3986199999999998E-3</v>
      </c>
    </row>
    <row r="17" spans="1:2">
      <c r="A17" s="8">
        <v>360</v>
      </c>
      <c r="B17" s="8">
        <v>5.2973157999999998E-3</v>
      </c>
    </row>
    <row r="18" spans="1:2">
      <c r="A18" s="8">
        <v>730</v>
      </c>
      <c r="B18" s="8">
        <v>5.5316827999999998E-3</v>
      </c>
    </row>
    <row r="19" spans="1:2">
      <c r="A19" s="8">
        <v>1095</v>
      </c>
      <c r="B19" s="8">
        <v>7.5014058999999999E-3</v>
      </c>
    </row>
    <row r="20" spans="1:2">
      <c r="A20" s="8">
        <v>1825</v>
      </c>
      <c r="B20" s="8">
        <v>1.23519913E-2</v>
      </c>
    </row>
    <row r="21" spans="1:2">
      <c r="A21" s="8">
        <v>3650</v>
      </c>
      <c r="B21" s="8">
        <v>2.1150782900000002E-2</v>
      </c>
    </row>
    <row r="22" spans="1:2">
      <c r="A22" s="8">
        <v>5475</v>
      </c>
      <c r="B22" s="8">
        <v>2.5703743099999999E-2</v>
      </c>
    </row>
    <row r="23" spans="1:2">
      <c r="A23" s="8">
        <v>7300</v>
      </c>
      <c r="B23" s="8">
        <v>2.6995468700000001E-2</v>
      </c>
    </row>
  </sheetData>
  <hyperlinks>
    <hyperlink ref="D5" location="SubVCV3!A1" display="SubVCV3" xr:uid="{00000000-0004-0000-0E00-000000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7030A0"/>
  </sheetPr>
  <dimension ref="A1:D23"/>
  <sheetViews>
    <sheetView workbookViewId="0">
      <selection activeCell="B6" sqref="B6"/>
    </sheetView>
  </sheetViews>
  <sheetFormatPr defaultColWidth="8.81640625" defaultRowHeight="14.5"/>
  <cols>
    <col min="1" max="1" width="15.6328125" customWidth="1"/>
    <col min="2" max="2" width="14.36328125" customWidth="1"/>
    <col min="3" max="3" width="16.6328125" customWidth="1"/>
    <col min="4" max="4" width="32.6328125" customWidth="1"/>
  </cols>
  <sheetData>
    <row r="1" spans="1:4">
      <c r="A1" t="s">
        <v>25</v>
      </c>
    </row>
    <row r="3" spans="1:4">
      <c r="A3" s="17" t="s">
        <v>677</v>
      </c>
      <c r="B3" s="8" t="s">
        <v>25</v>
      </c>
      <c r="C3" s="17" t="s">
        <v>678</v>
      </c>
      <c r="D3" s="8" t="s">
        <v>679</v>
      </c>
    </row>
    <row r="4" spans="1:4">
      <c r="A4" s="17" t="s">
        <v>680</v>
      </c>
      <c r="B4" s="8" t="s">
        <v>765</v>
      </c>
      <c r="C4" s="17" t="s">
        <v>681</v>
      </c>
      <c r="D4" s="8" t="s">
        <v>682</v>
      </c>
    </row>
    <row r="5" spans="1:4">
      <c r="A5" s="17" t="s">
        <v>683</v>
      </c>
      <c r="B5" s="8" t="s">
        <v>684</v>
      </c>
      <c r="C5" s="17" t="s">
        <v>685</v>
      </c>
      <c r="D5" s="40" t="s">
        <v>763</v>
      </c>
    </row>
    <row r="6" spans="1:4">
      <c r="A6" s="17" t="s">
        <v>688</v>
      </c>
      <c r="B6" s="39">
        <f>Intro!F5</f>
        <v>41657</v>
      </c>
      <c r="C6" s="17"/>
      <c r="D6" s="8"/>
    </row>
    <row r="9" spans="1:4">
      <c r="A9" s="18" t="s">
        <v>687</v>
      </c>
      <c r="B9" s="8">
        <v>0</v>
      </c>
    </row>
    <row r="10" spans="1:4">
      <c r="A10" s="8">
        <v>1</v>
      </c>
      <c r="B10" s="8">
        <v>1.052552E-3</v>
      </c>
    </row>
    <row r="11" spans="1:4">
      <c r="A11" s="8">
        <v>7</v>
      </c>
      <c r="B11" s="8">
        <v>1.4982966999999999E-3</v>
      </c>
    </row>
    <row r="12" spans="1:4">
      <c r="A12" s="8">
        <v>30</v>
      </c>
      <c r="B12" s="8">
        <v>1.7205668E-3</v>
      </c>
    </row>
    <row r="13" spans="1:4">
      <c r="A13" s="8">
        <v>60</v>
      </c>
      <c r="B13" s="8">
        <v>2.1119872000000001E-3</v>
      </c>
    </row>
    <row r="14" spans="1:4">
      <c r="A14" s="8">
        <v>90</v>
      </c>
      <c r="B14" s="8">
        <v>2.4319329999999998E-3</v>
      </c>
    </row>
    <row r="15" spans="1:4">
      <c r="A15" s="8">
        <v>180</v>
      </c>
      <c r="B15" s="8">
        <v>3.6133916999999999E-3</v>
      </c>
    </row>
    <row r="16" spans="1:4">
      <c r="A16" s="8">
        <v>270</v>
      </c>
      <c r="B16" s="8">
        <v>4.8901403E-3</v>
      </c>
    </row>
    <row r="17" spans="1:2">
      <c r="A17" s="8">
        <v>360</v>
      </c>
      <c r="B17" s="8">
        <v>6.1691245000000004E-3</v>
      </c>
    </row>
    <row r="18" spans="1:2">
      <c r="A18" s="8">
        <v>730</v>
      </c>
      <c r="B18" s="8">
        <v>4.6716253000000001E-3</v>
      </c>
    </row>
    <row r="19" spans="1:2">
      <c r="A19" s="8">
        <v>1095</v>
      </c>
      <c r="B19" s="8">
        <v>7.7745629000000004E-3</v>
      </c>
    </row>
    <row r="20" spans="1:2">
      <c r="A20" s="8">
        <v>1825</v>
      </c>
      <c r="B20" s="8">
        <v>1.5726555900000001E-2</v>
      </c>
    </row>
    <row r="21" spans="1:2">
      <c r="A21" s="8">
        <v>3650</v>
      </c>
      <c r="B21" s="8">
        <v>2.8907214000000001E-2</v>
      </c>
    </row>
    <row r="22" spans="1:2">
      <c r="A22" s="8">
        <v>5475</v>
      </c>
      <c r="B22" s="8">
        <v>3.4888199199999997E-2</v>
      </c>
    </row>
    <row r="23" spans="1:2">
      <c r="A23" s="8">
        <v>7300</v>
      </c>
      <c r="B23" s="8">
        <v>3.7368486499999999E-2</v>
      </c>
    </row>
  </sheetData>
  <hyperlinks>
    <hyperlink ref="D5" location="SubVCV3!A1" display="SubVCV3" xr:uid="{00000000-0004-0000-0F00-000000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7030A0"/>
  </sheetPr>
  <dimension ref="A1:D23"/>
  <sheetViews>
    <sheetView workbookViewId="0">
      <selection activeCell="H33" sqref="H33"/>
    </sheetView>
  </sheetViews>
  <sheetFormatPr defaultColWidth="8.81640625" defaultRowHeight="14.5"/>
  <cols>
    <col min="1" max="1" width="13.453125" customWidth="1"/>
    <col min="2" max="2" width="14.6328125" customWidth="1"/>
    <col min="3" max="3" width="17.36328125" customWidth="1"/>
    <col min="4" max="4" width="33.1796875" customWidth="1"/>
  </cols>
  <sheetData>
    <row r="1" spans="1:4">
      <c r="A1" t="s">
        <v>34</v>
      </c>
    </row>
    <row r="3" spans="1:4">
      <c r="A3" s="17" t="s">
        <v>677</v>
      </c>
      <c r="B3" s="8" t="s">
        <v>34</v>
      </c>
      <c r="C3" s="17" t="s">
        <v>678</v>
      </c>
      <c r="D3" s="8" t="s">
        <v>679</v>
      </c>
    </row>
    <row r="4" spans="1:4">
      <c r="A4" s="17" t="s">
        <v>680</v>
      </c>
      <c r="B4" s="8" t="s">
        <v>689</v>
      </c>
      <c r="C4" s="17" t="s">
        <v>681</v>
      </c>
      <c r="D4" s="8" t="s">
        <v>682</v>
      </c>
    </row>
    <row r="5" spans="1:4">
      <c r="A5" s="17" t="s">
        <v>683</v>
      </c>
      <c r="B5" s="8" t="s">
        <v>684</v>
      </c>
      <c r="C5" s="17" t="s">
        <v>685</v>
      </c>
      <c r="D5" s="40" t="s">
        <v>763</v>
      </c>
    </row>
    <row r="6" spans="1:4">
      <c r="A6" s="17" t="s">
        <v>690</v>
      </c>
      <c r="B6" s="39">
        <f>Intro!F5</f>
        <v>41657</v>
      </c>
      <c r="C6" s="17"/>
      <c r="D6" s="8"/>
    </row>
    <row r="9" spans="1:4">
      <c r="A9" s="18" t="s">
        <v>687</v>
      </c>
      <c r="B9" s="8">
        <v>0</v>
      </c>
    </row>
    <row r="10" spans="1:4">
      <c r="A10" s="8">
        <v>1</v>
      </c>
      <c r="B10" s="8">
        <v>9.5956210000000004E-3</v>
      </c>
    </row>
    <row r="11" spans="1:4">
      <c r="A11" s="8">
        <v>7</v>
      </c>
      <c r="B11" s="8">
        <v>9.8327329999999998E-3</v>
      </c>
    </row>
    <row r="12" spans="1:4">
      <c r="A12" s="8">
        <v>30</v>
      </c>
      <c r="B12" s="8">
        <v>1.02403244E-2</v>
      </c>
    </row>
    <row r="13" spans="1:4">
      <c r="A13" s="8">
        <v>60</v>
      </c>
      <c r="B13" s="8">
        <v>1.08200165E-2</v>
      </c>
    </row>
    <row r="14" spans="1:4">
      <c r="A14" s="8">
        <v>90</v>
      </c>
      <c r="B14" s="8">
        <v>1.1488112199999999E-2</v>
      </c>
    </row>
    <row r="15" spans="1:4">
      <c r="A15" s="8">
        <v>180</v>
      </c>
      <c r="B15" s="8">
        <v>1.27114802E-2</v>
      </c>
    </row>
    <row r="16" spans="1:4">
      <c r="A16" s="8">
        <v>270</v>
      </c>
      <c r="B16" s="8">
        <v>1.3892553300000001E-2</v>
      </c>
    </row>
    <row r="17" spans="1:2">
      <c r="A17" s="8">
        <v>360</v>
      </c>
      <c r="B17" s="8">
        <v>1.4954030700000001E-2</v>
      </c>
    </row>
    <row r="18" spans="1:2">
      <c r="A18" s="8">
        <v>730</v>
      </c>
      <c r="B18" s="8">
        <v>1.48051087E-2</v>
      </c>
    </row>
    <row r="19" spans="1:2">
      <c r="A19" s="8">
        <v>1095</v>
      </c>
      <c r="B19" s="8">
        <v>1.74588164E-2</v>
      </c>
    </row>
    <row r="20" spans="1:2">
      <c r="A20" s="8">
        <v>1825</v>
      </c>
      <c r="B20" s="8">
        <v>2.2742852800000001E-2</v>
      </c>
    </row>
    <row r="21" spans="1:2">
      <c r="A21" s="8">
        <v>3650</v>
      </c>
      <c r="B21" s="8">
        <v>3.1559511599999999E-2</v>
      </c>
    </row>
    <row r="22" spans="1:2">
      <c r="A22" s="8">
        <v>5475</v>
      </c>
      <c r="B22" s="8">
        <v>3.6807841100000002E-2</v>
      </c>
    </row>
    <row r="23" spans="1:2">
      <c r="A23" s="8">
        <v>7300</v>
      </c>
      <c r="B23" s="8">
        <v>3.8295457800000002E-2</v>
      </c>
    </row>
  </sheetData>
  <hyperlinks>
    <hyperlink ref="D5" location="SubVCV3!A1" display="SubVCV3" xr:uid="{00000000-0004-0000-1000-000000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722-705F-824D-853B-80866BB60CE9}">
  <sheetPr codeName="Sheet54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6" bestFit="1" customWidth="1"/>
    <col min="2" max="2" width="12.81640625" style="76" bestFit="1" customWidth="1"/>
    <col min="3" max="3" width="15" style="76" bestFit="1" customWidth="1"/>
    <col min="4" max="4" width="13" style="76" customWidth="1"/>
    <col min="5" max="5" width="16.36328125" style="76" customWidth="1"/>
    <col min="6" max="6" width="17.1796875" style="76" customWidth="1"/>
    <col min="7" max="7" width="23.453125" style="76" customWidth="1"/>
    <col min="8" max="8" width="23.81640625" style="76" customWidth="1"/>
    <col min="9" max="16384" width="9.1796875" style="76"/>
  </cols>
  <sheetData>
    <row r="1" spans="1:8">
      <c r="A1" s="152" t="s">
        <v>842</v>
      </c>
      <c r="B1" s="152"/>
      <c r="C1" s="152"/>
      <c r="D1" s="152"/>
    </row>
    <row r="2" spans="1:8" ht="13" thickBot="1">
      <c r="A2" s="153"/>
      <c r="B2" s="153"/>
      <c r="C2" s="153"/>
      <c r="D2" s="153"/>
    </row>
    <row r="3" spans="1:8">
      <c r="A3" s="108" t="s">
        <v>677</v>
      </c>
      <c r="B3" s="109" t="s">
        <v>842</v>
      </c>
      <c r="C3" s="109" t="s">
        <v>678</v>
      </c>
      <c r="D3" s="110" t="s">
        <v>679</v>
      </c>
    </row>
    <row r="4" spans="1:8">
      <c r="A4" s="111" t="s">
        <v>680</v>
      </c>
      <c r="B4" s="71" t="s">
        <v>846</v>
      </c>
      <c r="C4" s="71" t="s">
        <v>681</v>
      </c>
      <c r="D4" s="112" t="s">
        <v>682</v>
      </c>
    </row>
    <row r="5" spans="1:8" ht="13" thickBot="1">
      <c r="A5" s="111" t="s">
        <v>683</v>
      </c>
      <c r="B5" s="71" t="s">
        <v>684</v>
      </c>
      <c r="C5" s="113" t="s">
        <v>685</v>
      </c>
      <c r="D5" s="114"/>
    </row>
    <row r="6" spans="1:8" ht="13" thickBot="1">
      <c r="A6" s="115" t="s">
        <v>686</v>
      </c>
      <c r="B6" s="116">
        <f>Intro!F5</f>
        <v>41657</v>
      </c>
      <c r="C6" s="113"/>
      <c r="D6" s="117"/>
    </row>
    <row r="8" spans="1:8" ht="13" thickBot="1"/>
    <row r="9" spans="1:8" ht="13">
      <c r="A9" s="78" t="s">
        <v>687</v>
      </c>
      <c r="B9" s="118" t="s">
        <v>843</v>
      </c>
      <c r="C9" s="119"/>
      <c r="D9" s="119"/>
      <c r="E9" s="119"/>
      <c r="F9" s="119"/>
      <c r="G9" s="119"/>
      <c r="H9" s="119"/>
    </row>
    <row r="10" spans="1:8">
      <c r="A10" s="71">
        <v>1</v>
      </c>
      <c r="B10" s="76">
        <v>1.17E-3</v>
      </c>
    </row>
    <row r="11" spans="1:8">
      <c r="A11" s="71">
        <v>7</v>
      </c>
      <c r="B11" s="76">
        <v>1.17E-3</v>
      </c>
      <c r="C11" s="120"/>
    </row>
    <row r="12" spans="1:8">
      <c r="A12" s="71">
        <v>30</v>
      </c>
      <c r="B12" s="76">
        <v>1.39E-3</v>
      </c>
      <c r="C12" s="120"/>
    </row>
    <row r="13" spans="1:8">
      <c r="A13" s="71">
        <v>91</v>
      </c>
      <c r="B13" s="76">
        <v>1.24E-3</v>
      </c>
      <c r="C13" s="120"/>
    </row>
    <row r="14" spans="1:8">
      <c r="A14" s="71">
        <v>182</v>
      </c>
      <c r="B14" s="76">
        <v>1.23E-3</v>
      </c>
      <c r="C14" s="120"/>
    </row>
    <row r="15" spans="1:8">
      <c r="A15" s="71">
        <v>365</v>
      </c>
      <c r="B15" s="76">
        <v>1.2800000000000001E-3</v>
      </c>
      <c r="C15" s="120"/>
    </row>
    <row r="16" spans="1:8">
      <c r="A16" s="71">
        <v>730</v>
      </c>
      <c r="B16" s="76">
        <v>1.4400000000000001E-3</v>
      </c>
      <c r="C16" s="120"/>
    </row>
    <row r="17" spans="1:3">
      <c r="A17" s="71">
        <v>1095</v>
      </c>
      <c r="B17" s="76">
        <v>1.7099999999999999E-3</v>
      </c>
      <c r="C17" s="120"/>
    </row>
    <row r="18" spans="1:3">
      <c r="A18" s="71">
        <v>1460</v>
      </c>
      <c r="B18" s="76">
        <v>2.1700000000000001E-3</v>
      </c>
      <c r="C18" s="120"/>
    </row>
    <row r="19" spans="1:3">
      <c r="A19" s="71">
        <v>1825</v>
      </c>
      <c r="B19" s="76">
        <v>2.7699999999999999E-3</v>
      </c>
      <c r="C19" s="120"/>
    </row>
    <row r="20" spans="1:3">
      <c r="A20" s="121">
        <v>2190</v>
      </c>
      <c r="B20" s="76">
        <v>3.46E-3</v>
      </c>
      <c r="C20" s="120"/>
    </row>
    <row r="21" spans="1:3">
      <c r="A21" s="121">
        <v>2555</v>
      </c>
      <c r="B21" s="76">
        <v>4.5399999999999998E-3</v>
      </c>
      <c r="C21" s="120"/>
    </row>
    <row r="22" spans="1:3">
      <c r="A22" s="121">
        <v>2920</v>
      </c>
      <c r="B22" s="76">
        <v>5.9500000000000004E-3</v>
      </c>
      <c r="C22" s="120"/>
    </row>
    <row r="23" spans="1:3">
      <c r="A23" s="71">
        <v>3285</v>
      </c>
      <c r="B23" s="76">
        <v>7.8200000000000006E-3</v>
      </c>
    </row>
    <row r="24" spans="1:3">
      <c r="A24" s="71">
        <v>3650</v>
      </c>
      <c r="B24" s="76">
        <v>9.6100000000000005E-3</v>
      </c>
    </row>
    <row r="25" spans="1:3">
      <c r="A25" s="71">
        <v>5475</v>
      </c>
      <c r="B25" s="76">
        <v>1.422E-2</v>
      </c>
    </row>
    <row r="26" spans="1:3">
      <c r="A26" s="71">
        <v>7300</v>
      </c>
      <c r="B26" s="76">
        <v>1.7649999999999999E-2</v>
      </c>
    </row>
    <row r="27" spans="1:3">
      <c r="A27" s="71">
        <v>10950</v>
      </c>
      <c r="B27" s="76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69B6-4BCC-9B4A-B592-E0130D0B3540}">
  <sheetPr codeName="Sheet56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6" bestFit="1" customWidth="1"/>
    <col min="2" max="2" width="12.81640625" style="76" bestFit="1" customWidth="1"/>
    <col min="3" max="3" width="15" style="76" bestFit="1" customWidth="1"/>
    <col min="4" max="4" width="17.6328125" style="76" customWidth="1"/>
    <col min="5" max="5" width="17.36328125" style="76" customWidth="1"/>
    <col min="6" max="6" width="16.81640625" style="76" customWidth="1"/>
    <col min="7" max="7" width="18.36328125" style="76" customWidth="1"/>
    <col min="8" max="8" width="21" style="76" customWidth="1"/>
    <col min="9" max="16384" width="9.1796875" style="76"/>
  </cols>
  <sheetData>
    <row r="1" spans="1:8">
      <c r="A1" s="152" t="s">
        <v>839</v>
      </c>
      <c r="B1" s="152"/>
      <c r="C1" s="152"/>
      <c r="D1" s="152"/>
    </row>
    <row r="2" spans="1:8" ht="13" thickBot="1">
      <c r="A2" s="153"/>
      <c r="B2" s="153"/>
      <c r="C2" s="153"/>
      <c r="D2" s="153"/>
    </row>
    <row r="3" spans="1:8">
      <c r="A3" s="108" t="s">
        <v>677</v>
      </c>
      <c r="B3" s="109" t="s">
        <v>839</v>
      </c>
      <c r="C3" s="109" t="s">
        <v>678</v>
      </c>
      <c r="D3" s="110" t="s">
        <v>679</v>
      </c>
    </row>
    <row r="4" spans="1:8">
      <c r="A4" s="111" t="s">
        <v>680</v>
      </c>
      <c r="B4" s="71" t="s">
        <v>846</v>
      </c>
      <c r="C4" s="71" t="s">
        <v>681</v>
      </c>
      <c r="D4" s="112" t="s">
        <v>682</v>
      </c>
    </row>
    <row r="5" spans="1:8" ht="13" thickBot="1">
      <c r="A5" s="111" t="s">
        <v>683</v>
      </c>
      <c r="B5" s="71" t="s">
        <v>684</v>
      </c>
      <c r="C5" s="113" t="s">
        <v>685</v>
      </c>
      <c r="D5" s="114"/>
    </row>
    <row r="6" spans="1:8" ht="13" thickBot="1">
      <c r="A6" s="115" t="s">
        <v>686</v>
      </c>
      <c r="B6" s="116">
        <f>Intro!F5</f>
        <v>41657</v>
      </c>
      <c r="C6" s="113"/>
      <c r="D6" s="117"/>
    </row>
    <row r="8" spans="1:8" ht="13" thickBot="1"/>
    <row r="9" spans="1:8" ht="13">
      <c r="A9" s="78" t="s">
        <v>687</v>
      </c>
      <c r="B9" s="118" t="s">
        <v>843</v>
      </c>
      <c r="C9" s="119"/>
      <c r="D9" s="119"/>
      <c r="E9" s="119"/>
      <c r="F9" s="119"/>
      <c r="G9" s="119"/>
      <c r="H9" s="119"/>
    </row>
    <row r="10" spans="1:8">
      <c r="A10" s="71">
        <v>1</v>
      </c>
      <c r="B10" s="76">
        <v>7.5000000000000002E-4</v>
      </c>
      <c r="C10" s="120"/>
    </row>
    <row r="11" spans="1:8">
      <c r="A11" s="71">
        <v>7</v>
      </c>
      <c r="B11" s="76">
        <v>7.5000000000000002E-4</v>
      </c>
      <c r="C11" s="120"/>
    </row>
    <row r="12" spans="1:8">
      <c r="A12" s="71">
        <v>30</v>
      </c>
      <c r="B12" s="76">
        <v>2.3999999999999998E-3</v>
      </c>
      <c r="C12" s="120"/>
    </row>
    <row r="13" spans="1:8">
      <c r="A13" s="71">
        <v>91</v>
      </c>
      <c r="B13" s="76">
        <v>3.2799999999999999E-3</v>
      </c>
      <c r="C13" s="120"/>
    </row>
    <row r="14" spans="1:8">
      <c r="A14" s="71">
        <v>182</v>
      </c>
      <c r="B14" s="76">
        <v>3.0500000000000002E-3</v>
      </c>
      <c r="C14" s="120"/>
    </row>
    <row r="15" spans="1:8">
      <c r="A15" s="71">
        <v>365</v>
      </c>
      <c r="B15" s="76">
        <v>3.5400000000000002E-3</v>
      </c>
      <c r="C15" s="120"/>
    </row>
    <row r="16" spans="1:8">
      <c r="A16" s="71">
        <v>730</v>
      </c>
      <c r="B16" s="76">
        <v>5.7200000000000003E-3</v>
      </c>
      <c r="C16" s="120"/>
    </row>
    <row r="17" spans="1:3">
      <c r="A17" s="71">
        <v>1095</v>
      </c>
      <c r="B17" s="76">
        <v>7.1900000000000002E-3</v>
      </c>
      <c r="C17" s="120"/>
    </row>
    <row r="18" spans="1:3">
      <c r="A18" s="71">
        <v>1460</v>
      </c>
      <c r="B18" s="76">
        <v>9.5399999999999999E-3</v>
      </c>
      <c r="C18" s="120"/>
    </row>
    <row r="19" spans="1:3">
      <c r="A19" s="121">
        <v>1825</v>
      </c>
      <c r="B19" s="76">
        <v>1.204E-2</v>
      </c>
      <c r="C19" s="120"/>
    </row>
    <row r="20" spans="1:3">
      <c r="A20" s="121">
        <v>2190</v>
      </c>
      <c r="B20" s="76">
        <v>1.431E-2</v>
      </c>
      <c r="C20" s="120"/>
    </row>
    <row r="21" spans="1:3">
      <c r="A21" s="121">
        <v>2555</v>
      </c>
      <c r="B21" s="76">
        <v>1.6400000000000001E-2</v>
      </c>
      <c r="C21" s="120"/>
    </row>
    <row r="22" spans="1:3">
      <c r="A22" s="71">
        <v>2920</v>
      </c>
      <c r="B22" s="76">
        <v>1.7909999999999999E-2</v>
      </c>
    </row>
    <row r="23" spans="1:3">
      <c r="A23" s="71">
        <v>3285</v>
      </c>
      <c r="B23" s="76">
        <v>1.9439999999999999E-2</v>
      </c>
    </row>
    <row r="24" spans="1:3">
      <c r="A24" s="71">
        <v>3650</v>
      </c>
      <c r="B24" s="76">
        <v>2.0729999999999998E-2</v>
      </c>
    </row>
    <row r="25" spans="1:3">
      <c r="A25" s="71">
        <v>5475</v>
      </c>
      <c r="B25" s="76">
        <v>2.3699999999999999E-2</v>
      </c>
    </row>
    <row r="26" spans="1:3">
      <c r="A26" s="71">
        <v>7300</v>
      </c>
      <c r="B26" s="76">
        <v>2.35E-2</v>
      </c>
    </row>
    <row r="27" spans="1:3">
      <c r="A27" s="71">
        <v>10950</v>
      </c>
      <c r="B27" s="76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8B78-6BB6-B746-992C-DFE8C2757388}">
  <sheetPr codeName="Sheet57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6" bestFit="1" customWidth="1"/>
    <col min="2" max="2" width="12.81640625" style="76" bestFit="1" customWidth="1"/>
    <col min="3" max="3" width="15" style="76" bestFit="1" customWidth="1"/>
    <col min="4" max="4" width="16.1796875" style="76" customWidth="1"/>
    <col min="5" max="5" width="15.81640625" style="76" customWidth="1"/>
    <col min="6" max="6" width="17.453125" style="76" customWidth="1"/>
    <col min="7" max="7" width="19.81640625" style="76" bestFit="1" customWidth="1"/>
    <col min="8" max="8" width="22.36328125" style="76" bestFit="1" customWidth="1"/>
    <col min="9" max="16384" width="9.1796875" style="76"/>
  </cols>
  <sheetData>
    <row r="1" spans="1:8">
      <c r="A1" s="152" t="s">
        <v>840</v>
      </c>
      <c r="B1" s="152"/>
      <c r="C1" s="152"/>
      <c r="D1" s="152"/>
    </row>
    <row r="2" spans="1:8" ht="13" thickBot="1">
      <c r="A2" s="153"/>
      <c r="B2" s="153"/>
      <c r="C2" s="153"/>
      <c r="D2" s="153"/>
    </row>
    <row r="3" spans="1:8">
      <c r="A3" s="108" t="s">
        <v>677</v>
      </c>
      <c r="B3" s="109" t="s">
        <v>844</v>
      </c>
      <c r="C3" s="109" t="s">
        <v>678</v>
      </c>
      <c r="D3" s="110" t="s">
        <v>679</v>
      </c>
    </row>
    <row r="4" spans="1:8">
      <c r="A4" s="111" t="s">
        <v>680</v>
      </c>
      <c r="B4" s="71" t="s">
        <v>846</v>
      </c>
      <c r="C4" s="71" t="s">
        <v>681</v>
      </c>
      <c r="D4" s="112" t="s">
        <v>682</v>
      </c>
    </row>
    <row r="5" spans="1:8" ht="13" thickBot="1">
      <c r="A5" s="111" t="s">
        <v>683</v>
      </c>
      <c r="B5" s="71" t="s">
        <v>684</v>
      </c>
      <c r="C5" s="113" t="s">
        <v>685</v>
      </c>
      <c r="D5" s="114"/>
    </row>
    <row r="6" spans="1:8" ht="13" thickBot="1">
      <c r="A6" s="115" t="s">
        <v>686</v>
      </c>
      <c r="B6" s="116">
        <f>Intro!F5</f>
        <v>41657</v>
      </c>
      <c r="C6" s="113"/>
      <c r="D6" s="117"/>
    </row>
    <row r="8" spans="1:8" ht="13" thickBot="1"/>
    <row r="9" spans="1:8" ht="13">
      <c r="A9" s="78" t="s">
        <v>687</v>
      </c>
      <c r="B9" s="118" t="s">
        <v>843</v>
      </c>
      <c r="C9" s="119"/>
      <c r="D9" s="119"/>
      <c r="E9" s="119"/>
      <c r="F9" s="119"/>
      <c r="G9" s="119"/>
      <c r="H9" s="119"/>
    </row>
    <row r="10" spans="1:8">
      <c r="A10" s="71">
        <v>1</v>
      </c>
      <c r="B10" s="76">
        <v>2.2100000000000002E-3</v>
      </c>
      <c r="C10" s="120"/>
    </row>
    <row r="11" spans="1:8">
      <c r="A11" s="71">
        <v>7</v>
      </c>
      <c r="B11" s="76">
        <v>1.6999999999999999E-3</v>
      </c>
      <c r="C11" s="120"/>
    </row>
    <row r="12" spans="1:8">
      <c r="A12" s="71">
        <v>30</v>
      </c>
      <c r="B12" s="76">
        <v>1.6999999999999999E-3</v>
      </c>
      <c r="C12" s="120"/>
    </row>
    <row r="13" spans="1:8">
      <c r="A13" s="71">
        <v>91</v>
      </c>
      <c r="B13" s="76">
        <v>2.2100000000000002E-3</v>
      </c>
      <c r="C13" s="120"/>
    </row>
    <row r="14" spans="1:8">
      <c r="A14" s="71">
        <v>182</v>
      </c>
      <c r="B14" s="76">
        <v>2.8600000000000001E-3</v>
      </c>
      <c r="C14" s="120"/>
    </row>
    <row r="15" spans="1:8">
      <c r="A15" s="71">
        <v>365</v>
      </c>
      <c r="B15" s="76">
        <v>3.5200000000000001E-3</v>
      </c>
      <c r="C15" s="120"/>
    </row>
    <row r="16" spans="1:8">
      <c r="A16" s="71">
        <v>730</v>
      </c>
      <c r="B16" s="76">
        <v>5.9899999999999997E-3</v>
      </c>
      <c r="C16" s="120"/>
    </row>
    <row r="17" spans="1:3">
      <c r="A17" s="71">
        <v>1095</v>
      </c>
      <c r="B17" s="76">
        <v>7.2300000000000003E-3</v>
      </c>
      <c r="C17" s="120"/>
    </row>
    <row r="18" spans="1:3">
      <c r="A18" s="71">
        <v>1460</v>
      </c>
      <c r="B18" s="76">
        <v>8.43E-3</v>
      </c>
      <c r="C18" s="120"/>
    </row>
    <row r="19" spans="1:3">
      <c r="A19" s="121">
        <v>1825</v>
      </c>
      <c r="B19" s="76">
        <v>9.6299999999999997E-3</v>
      </c>
      <c r="C19" s="120"/>
    </row>
    <row r="20" spans="1:3">
      <c r="A20" s="121">
        <v>2190</v>
      </c>
      <c r="B20" s="76">
        <v>1.06E-2</v>
      </c>
      <c r="C20" s="120"/>
    </row>
    <row r="21" spans="1:3">
      <c r="A21" s="121">
        <v>2555</v>
      </c>
      <c r="B21" s="76">
        <v>1.157E-2</v>
      </c>
      <c r="C21" s="120"/>
    </row>
    <row r="22" spans="1:3">
      <c r="A22" s="71">
        <v>2920</v>
      </c>
      <c r="B22" s="76">
        <v>1.2409999999999999E-2</v>
      </c>
    </row>
    <row r="23" spans="1:3">
      <c r="A23" s="71">
        <v>3285</v>
      </c>
      <c r="B23" s="76">
        <v>1.3390000000000001E-2</v>
      </c>
    </row>
    <row r="24" spans="1:3">
      <c r="A24" s="71">
        <v>3650</v>
      </c>
      <c r="B24" s="76">
        <v>1.3950000000000001E-2</v>
      </c>
    </row>
    <row r="25" spans="1:3">
      <c r="A25" s="71">
        <v>5475</v>
      </c>
      <c r="B25" s="76">
        <v>1.6400000000000001E-2</v>
      </c>
    </row>
    <row r="26" spans="1:3">
      <c r="A26" s="71">
        <v>7300</v>
      </c>
      <c r="B26" s="76">
        <v>1.686E-2</v>
      </c>
    </row>
    <row r="27" spans="1:3">
      <c r="A27" s="71">
        <v>10950</v>
      </c>
      <c r="B27" s="76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9"/>
  <sheetViews>
    <sheetView workbookViewId="0">
      <selection activeCell="C23" sqref="C23"/>
    </sheetView>
  </sheetViews>
  <sheetFormatPr defaultColWidth="8.81640625" defaultRowHeight="14.5"/>
  <sheetData>
    <row r="1" spans="1:7" ht="20">
      <c r="A1" s="154" t="s">
        <v>694</v>
      </c>
      <c r="B1" s="154"/>
      <c r="C1" s="101"/>
      <c r="D1" s="35"/>
      <c r="E1" s="35"/>
      <c r="F1" s="35"/>
      <c r="G1" s="35"/>
    </row>
    <row r="2" spans="1:7" ht="20">
      <c r="A2" s="155"/>
      <c r="B2" s="155"/>
      <c r="C2" s="101"/>
      <c r="D2" s="35"/>
      <c r="E2" s="35"/>
      <c r="F2" s="35"/>
      <c r="G2" s="35"/>
    </row>
    <row r="3" spans="1:7">
      <c r="A3" s="102" t="s">
        <v>695</v>
      </c>
      <c r="B3" s="103" t="s">
        <v>19</v>
      </c>
      <c r="C3" s="104"/>
      <c r="D3" s="32"/>
      <c r="E3" s="33"/>
      <c r="F3" s="33"/>
      <c r="G3" s="33"/>
    </row>
    <row r="4" spans="1:7">
      <c r="A4" s="105" t="s">
        <v>19</v>
      </c>
      <c r="B4" s="87">
        <v>1</v>
      </c>
      <c r="C4" s="90"/>
      <c r="D4" s="34"/>
      <c r="E4" s="34"/>
      <c r="F4" s="34"/>
      <c r="G4" s="34"/>
    </row>
    <row r="5" spans="1:7">
      <c r="A5" s="105" t="s">
        <v>29</v>
      </c>
      <c r="B5" s="106">
        <v>0.96852000000000005</v>
      </c>
      <c r="C5" s="36"/>
      <c r="D5" s="30"/>
      <c r="E5" s="30"/>
      <c r="F5" s="30"/>
      <c r="G5" s="30"/>
    </row>
    <row r="6" spans="1:7">
      <c r="A6" s="105" t="s">
        <v>51</v>
      </c>
      <c r="B6" s="106">
        <v>1.3595999999999999</v>
      </c>
      <c r="C6" s="36"/>
      <c r="D6" s="30"/>
      <c r="E6" s="30"/>
      <c r="F6" s="30"/>
      <c r="G6" s="30"/>
    </row>
    <row r="7" spans="1:7">
      <c r="A7" s="105" t="s">
        <v>200</v>
      </c>
      <c r="B7" s="106">
        <v>1.5831</v>
      </c>
      <c r="C7" s="36"/>
      <c r="D7" s="29"/>
      <c r="E7" s="29"/>
      <c r="F7" s="29"/>
      <c r="G7" s="29"/>
    </row>
    <row r="8" spans="1:7">
      <c r="A8" s="105" t="s">
        <v>835</v>
      </c>
      <c r="B8" s="106">
        <v>0.12884999999999999</v>
      </c>
      <c r="C8" s="36"/>
      <c r="D8" s="29"/>
      <c r="E8" s="29"/>
      <c r="F8" s="29"/>
      <c r="G8" s="29"/>
    </row>
    <row r="9" spans="1:7">
      <c r="A9" s="105" t="s">
        <v>836</v>
      </c>
      <c r="B9" s="106">
        <v>3.2009999999999997E-2</v>
      </c>
      <c r="C9" s="36"/>
      <c r="D9" s="31"/>
      <c r="E9" s="29"/>
      <c r="F9" s="29"/>
      <c r="G9" s="29"/>
    </row>
    <row r="10" spans="1:7">
      <c r="A10" s="105" t="s">
        <v>837</v>
      </c>
      <c r="B10" s="106">
        <v>8.6280000000000003E-3</v>
      </c>
      <c r="C10" s="36"/>
      <c r="D10" s="31"/>
      <c r="E10" s="29"/>
      <c r="F10" s="29"/>
      <c r="G10" s="29"/>
    </row>
    <row r="11" spans="1:7">
      <c r="A11" s="107"/>
      <c r="B11" s="36"/>
      <c r="C11" s="36"/>
      <c r="D11" s="31"/>
      <c r="E11" s="29"/>
      <c r="F11" s="29"/>
      <c r="G11" s="29"/>
    </row>
    <row r="12" spans="1:7">
      <c r="A12" s="36"/>
      <c r="B12" s="36"/>
      <c r="C12" s="36"/>
      <c r="D12" s="31"/>
      <c r="E12" s="29"/>
      <c r="F12" s="29"/>
      <c r="G12" s="29"/>
    </row>
    <row r="13" spans="1:7">
      <c r="A13" s="105" t="s">
        <v>696</v>
      </c>
      <c r="B13" s="8"/>
      <c r="C13" s="81" t="s">
        <v>25</v>
      </c>
      <c r="D13" s="29"/>
      <c r="E13" s="29"/>
      <c r="F13" s="29"/>
      <c r="G13" s="29"/>
    </row>
    <row r="14" spans="1:7">
      <c r="A14" s="105" t="s">
        <v>697</v>
      </c>
      <c r="B14" s="8"/>
      <c r="C14" s="81" t="s">
        <v>34</v>
      </c>
    </row>
    <row r="15" spans="1:7">
      <c r="A15" s="105" t="s">
        <v>698</v>
      </c>
      <c r="B15" s="8"/>
      <c r="C15" s="81" t="s">
        <v>56</v>
      </c>
    </row>
    <row r="16" spans="1:7">
      <c r="A16" s="105" t="s">
        <v>699</v>
      </c>
      <c r="B16" s="8"/>
      <c r="C16" s="81" t="s">
        <v>205</v>
      </c>
    </row>
    <row r="17" spans="1:3">
      <c r="A17" s="105" t="s">
        <v>838</v>
      </c>
      <c r="B17" s="8"/>
      <c r="C17" s="81" t="s">
        <v>839</v>
      </c>
    </row>
    <row r="18" spans="1:3">
      <c r="A18" s="105" t="s">
        <v>852</v>
      </c>
      <c r="B18" s="8"/>
      <c r="C18" s="81" t="s">
        <v>840</v>
      </c>
    </row>
    <row r="19" spans="1:3">
      <c r="A19" s="105" t="s">
        <v>841</v>
      </c>
      <c r="B19" s="8"/>
      <c r="C19" s="81" t="s">
        <v>842</v>
      </c>
    </row>
  </sheetData>
  <mergeCells count="1">
    <mergeCell ref="A1:B2"/>
  </mergeCells>
  <hyperlinks>
    <hyperlink ref="C13" location="IRUSD!A1" display="IRUSD" xr:uid="{2D519F9C-1CF9-7244-9C89-A960D74EBF3A}"/>
    <hyperlink ref="C14" location="IRCAD!A1" display="IRCAD" xr:uid="{BCBF7733-838A-B84D-99C0-DA77D7895A94}"/>
    <hyperlink ref="C15" location="IREUR!A1" display="IREUR" xr:uid="{EB35B956-84B7-0E48-B380-E1987F968AD1}"/>
    <hyperlink ref="C16" location="IRGBP!A1" display="IRGBP" xr:uid="{2F98DE8E-C882-D243-92EC-4A71F9944E1D}"/>
    <hyperlink ref="C17" location="IRHKD!A1" display="IRHKD" xr:uid="{DF0FB072-22F5-574B-A1FE-87E022715C00}"/>
    <hyperlink ref="C18" location="IRAUD!A1" display="IRAUD" xr:uid="{5D2748F8-34E7-7546-AC99-7C05437EFBCA}"/>
    <hyperlink ref="C19" location="IRJPY!A1" display="IRJPY" xr:uid="{BFE6F897-3DA6-F545-93A2-08DCB1CE63E1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92D050"/>
  </sheetPr>
  <dimension ref="A1:BN68"/>
  <sheetViews>
    <sheetView workbookViewId="0">
      <selection activeCell="A2" sqref="A2"/>
    </sheetView>
  </sheetViews>
  <sheetFormatPr defaultColWidth="8.81640625" defaultRowHeight="14.5"/>
  <sheetData>
    <row r="1" spans="1:66">
      <c r="A1" s="43" t="s">
        <v>708</v>
      </c>
      <c r="B1" s="43" t="s">
        <v>709</v>
      </c>
      <c r="C1" s="43" t="s">
        <v>710</v>
      </c>
      <c r="D1" s="43" t="s">
        <v>720</v>
      </c>
      <c r="E1" s="83" t="s">
        <v>804</v>
      </c>
      <c r="F1" s="83" t="s">
        <v>805</v>
      </c>
      <c r="G1" s="83" t="s">
        <v>806</v>
      </c>
      <c r="H1" s="83" t="s">
        <v>721</v>
      </c>
      <c r="I1" s="41" t="s">
        <v>722</v>
      </c>
      <c r="J1" s="83" t="s">
        <v>723</v>
      </c>
      <c r="K1" s="46" t="s">
        <v>700</v>
      </c>
      <c r="L1" s="46" t="s">
        <v>701</v>
      </c>
      <c r="M1" s="46" t="s">
        <v>702</v>
      </c>
      <c r="N1" s="46" t="s">
        <v>724</v>
      </c>
      <c r="O1" s="46" t="s">
        <v>725</v>
      </c>
      <c r="P1" s="46" t="s">
        <v>726</v>
      </c>
      <c r="Q1" s="46" t="s">
        <v>727</v>
      </c>
      <c r="R1" s="46" t="s">
        <v>728</v>
      </c>
      <c r="S1" s="46" t="s">
        <v>703</v>
      </c>
      <c r="T1" s="46" t="s">
        <v>704</v>
      </c>
      <c r="U1" s="46" t="s">
        <v>729</v>
      </c>
      <c r="V1" s="46" t="s">
        <v>705</v>
      </c>
      <c r="W1" s="46" t="s">
        <v>706</v>
      </c>
      <c r="X1" s="46" t="s">
        <v>707</v>
      </c>
      <c r="Y1" s="46" t="s">
        <v>730</v>
      </c>
      <c r="Z1" s="46" t="s">
        <v>717</v>
      </c>
      <c r="AA1" s="46" t="s">
        <v>718</v>
      </c>
      <c r="AB1" s="46" t="s">
        <v>731</v>
      </c>
      <c r="AC1" s="46" t="s">
        <v>732</v>
      </c>
      <c r="AD1" s="46" t="s">
        <v>733</v>
      </c>
      <c r="AE1" s="46" t="s">
        <v>734</v>
      </c>
      <c r="AF1" s="46" t="s">
        <v>735</v>
      </c>
      <c r="AG1" s="46" t="s">
        <v>719</v>
      </c>
      <c r="AH1" s="46" t="s">
        <v>736</v>
      </c>
      <c r="AI1" s="46" t="s">
        <v>737</v>
      </c>
      <c r="AJ1" s="46" t="s">
        <v>738</v>
      </c>
      <c r="AK1" s="46" t="s">
        <v>739</v>
      </c>
      <c r="AL1" s="46" t="s">
        <v>740</v>
      </c>
      <c r="AM1" s="46" t="s">
        <v>741</v>
      </c>
      <c r="AN1" s="46" t="s">
        <v>742</v>
      </c>
      <c r="AO1" s="46" t="s">
        <v>743</v>
      </c>
      <c r="AP1" s="46" t="s">
        <v>744</v>
      </c>
      <c r="AQ1" s="46" t="s">
        <v>745</v>
      </c>
      <c r="AR1" s="46" t="s">
        <v>746</v>
      </c>
      <c r="AS1" s="46" t="s">
        <v>747</v>
      </c>
      <c r="AT1" s="46" t="s">
        <v>748</v>
      </c>
      <c r="AU1" s="46" t="s">
        <v>749</v>
      </c>
      <c r="AV1" s="46" t="s">
        <v>750</v>
      </c>
      <c r="AW1" s="46" t="s">
        <v>751</v>
      </c>
      <c r="AX1" s="45" t="s">
        <v>752</v>
      </c>
      <c r="AY1" s="46" t="s">
        <v>753</v>
      </c>
      <c r="AZ1" s="46" t="s">
        <v>754</v>
      </c>
      <c r="BA1" s="44" t="s">
        <v>711</v>
      </c>
      <c r="BB1" s="44" t="s">
        <v>712</v>
      </c>
      <c r="BC1" s="44" t="s">
        <v>713</v>
      </c>
      <c r="BD1" s="44" t="s">
        <v>755</v>
      </c>
      <c r="BE1" s="44" t="s">
        <v>756</v>
      </c>
      <c r="BF1" s="44" t="s">
        <v>757</v>
      </c>
      <c r="BG1" s="44" t="s">
        <v>758</v>
      </c>
      <c r="BH1" s="44" t="s">
        <v>759</v>
      </c>
      <c r="BI1" s="44" t="s">
        <v>714</v>
      </c>
      <c r="BJ1" s="44" t="s">
        <v>715</v>
      </c>
      <c r="BK1" s="45" t="s">
        <v>716</v>
      </c>
      <c r="BL1" s="44" t="s">
        <v>760</v>
      </c>
      <c r="BM1" s="44" t="s">
        <v>761</v>
      </c>
      <c r="BN1" s="44" t="s">
        <v>762</v>
      </c>
    </row>
    <row r="2" spans="1:66" ht="15" thickBot="1">
      <c r="A2" s="42">
        <v>0.97031415121529441</v>
      </c>
      <c r="B2" s="42">
        <v>1.3502097543792233</v>
      </c>
      <c r="C2" s="42">
        <v>1.615653120696833</v>
      </c>
      <c r="D2" s="42">
        <v>0.32023569347039421</v>
      </c>
      <c r="E2" s="42">
        <v>2.79</v>
      </c>
      <c r="F2" s="42">
        <v>10.75</v>
      </c>
      <c r="G2" s="42">
        <v>223</v>
      </c>
      <c r="H2" s="42">
        <v>15118.82</v>
      </c>
      <c r="I2" s="42">
        <v>1679.91</v>
      </c>
      <c r="J2" s="42">
        <v>1.24</v>
      </c>
      <c r="K2" s="42">
        <v>9.5956210000000004E-3</v>
      </c>
      <c r="L2" s="42">
        <v>9.8327329999999998E-3</v>
      </c>
      <c r="M2" s="42">
        <v>1.02403244E-2</v>
      </c>
      <c r="N2" s="42">
        <v>1.08200165E-2</v>
      </c>
      <c r="O2" s="42">
        <v>1.1488112199999999E-2</v>
      </c>
      <c r="P2" s="42">
        <v>1.27114802E-2</v>
      </c>
      <c r="Q2" s="42">
        <v>1.3892553300000001E-2</v>
      </c>
      <c r="R2" s="42">
        <v>1.4954030700000001E-2</v>
      </c>
      <c r="S2" s="42">
        <v>1.48051087E-2</v>
      </c>
      <c r="T2" s="42">
        <v>1.74588164E-2</v>
      </c>
      <c r="U2" s="42">
        <v>2.2742852800000001E-2</v>
      </c>
      <c r="V2" s="42">
        <v>3.1559511599999999E-2</v>
      </c>
      <c r="W2" s="42">
        <v>3.6807841100000002E-2</v>
      </c>
      <c r="X2" s="42">
        <v>3.8295457800000002E-2</v>
      </c>
      <c r="Y2" s="42">
        <v>1.5011219999999999E-3</v>
      </c>
      <c r="Z2" s="42">
        <v>1.2289060000000001E-3</v>
      </c>
      <c r="AA2" s="42">
        <v>1.2608261000000001E-3</v>
      </c>
      <c r="AB2" s="42">
        <v>1.6743226E-3</v>
      </c>
      <c r="AC2" s="42">
        <v>2.1719952E-3</v>
      </c>
      <c r="AD2" s="42">
        <v>3.3253614999999999E-3</v>
      </c>
      <c r="AE2" s="42">
        <v>4.3986199999999998E-3</v>
      </c>
      <c r="AF2" s="42">
        <v>5.2973157999999998E-3</v>
      </c>
      <c r="AG2" s="42">
        <v>5.5316827999999998E-3</v>
      </c>
      <c r="AH2" s="42">
        <v>7.5014058999999999E-3</v>
      </c>
      <c r="AI2" s="42">
        <v>1.23519913E-2</v>
      </c>
      <c r="AJ2" s="42">
        <v>2.1150782900000002E-2</v>
      </c>
      <c r="AK2" s="42">
        <v>2.5703743099999999E-2</v>
      </c>
      <c r="AL2" s="42">
        <v>2.6995468700000001E-2</v>
      </c>
      <c r="AM2" s="42">
        <v>4.742479E-3</v>
      </c>
      <c r="AN2" s="42">
        <v>4.7400146999999997E-3</v>
      </c>
      <c r="AO2" s="42">
        <v>4.8795827999999998E-3</v>
      </c>
      <c r="AP2" s="42">
        <v>4.9975178999999998E-3</v>
      </c>
      <c r="AQ2" s="42">
        <v>5.1509946999999997E-3</v>
      </c>
      <c r="AR2" s="42">
        <v>5.8502857999999996E-3</v>
      </c>
      <c r="AS2" s="42">
        <v>7.2184444999999998E-3</v>
      </c>
      <c r="AT2" s="42">
        <v>8.6155782999999993E-3</v>
      </c>
      <c r="AU2" s="42">
        <v>8.4103114000000003E-3</v>
      </c>
      <c r="AV2" s="42">
        <v>1.13554824E-2</v>
      </c>
      <c r="AW2" s="42">
        <v>1.7660728600000002E-2</v>
      </c>
      <c r="AX2" s="42">
        <v>2.8147917599999999E-2</v>
      </c>
      <c r="AY2" s="42">
        <v>3.26849024E-2</v>
      </c>
      <c r="AZ2" s="42">
        <v>3.4563895800000001E-2</v>
      </c>
      <c r="BA2" s="42">
        <v>1.052552E-3</v>
      </c>
      <c r="BB2" s="42">
        <v>1.4982966999999999E-3</v>
      </c>
      <c r="BC2" s="42">
        <v>1.7205668E-3</v>
      </c>
      <c r="BD2" s="42">
        <v>2.1119872000000001E-3</v>
      </c>
      <c r="BE2" s="42">
        <v>2.4319329999999998E-3</v>
      </c>
      <c r="BF2" s="42">
        <v>3.6133916999999999E-3</v>
      </c>
      <c r="BG2" s="42">
        <v>4.8901403E-3</v>
      </c>
      <c r="BH2" s="42">
        <v>6.1691245000000004E-3</v>
      </c>
      <c r="BI2" s="42">
        <v>4.6716253000000001E-3</v>
      </c>
      <c r="BJ2" s="42">
        <v>7.7745629000000004E-3</v>
      </c>
      <c r="BK2" s="42">
        <v>1.5726555900000001E-2</v>
      </c>
      <c r="BL2" s="42">
        <v>2.8907214000000001E-2</v>
      </c>
      <c r="BM2" s="42">
        <v>3.4888199199999997E-2</v>
      </c>
      <c r="BN2" s="42">
        <v>3.7368486499999999E-2</v>
      </c>
    </row>
    <row r="3" spans="1:66">
      <c r="A3" s="47">
        <v>2.1528946760300001E-5</v>
      </c>
      <c r="B3" s="47">
        <v>1.35776809806E-5</v>
      </c>
      <c r="C3" s="47">
        <v>1.9577569728899999E-5</v>
      </c>
      <c r="D3" s="47">
        <v>2.49371650177E-5</v>
      </c>
      <c r="E3" s="47">
        <v>2.7359688920899999E-5</v>
      </c>
      <c r="F3" s="47">
        <v>1.0897543269099999E-6</v>
      </c>
      <c r="G3" s="47">
        <v>-1.36245601066E-6</v>
      </c>
      <c r="H3" s="47">
        <v>2.8902416073199999E-6</v>
      </c>
      <c r="I3" s="47">
        <v>4.2040489040900001E-6</v>
      </c>
      <c r="J3" s="47">
        <v>2.86732304792E-5</v>
      </c>
      <c r="K3" s="47">
        <v>-6.2592033636800003E-6</v>
      </c>
      <c r="L3" s="47">
        <v>6.2442334978600003E-6</v>
      </c>
      <c r="M3" s="47">
        <v>4.2958400010000002E-6</v>
      </c>
      <c r="N3" s="47">
        <v>2.8862018517400002E-6</v>
      </c>
      <c r="O3" s="47">
        <v>-5.8880131490500005E-7</v>
      </c>
      <c r="P3" s="47">
        <v>3.4503050675699999E-6</v>
      </c>
      <c r="Q3" s="47">
        <v>3.1234639234099999E-6</v>
      </c>
      <c r="R3" s="47">
        <v>-3.6073661218699997E-5</v>
      </c>
      <c r="S3" s="47">
        <v>3.1557002963599997E-5</v>
      </c>
      <c r="T3" s="47">
        <v>3.6750350052900002E-5</v>
      </c>
      <c r="U3" s="47">
        <v>4.2183154291100003E-5</v>
      </c>
      <c r="V3" s="47">
        <v>2.8906443610999999E-5</v>
      </c>
      <c r="W3" s="47">
        <v>2.13626502366E-5</v>
      </c>
      <c r="X3" s="47">
        <v>1.7910499449399999E-5</v>
      </c>
      <c r="Y3" s="47">
        <v>2.7377870564199998E-4</v>
      </c>
      <c r="Z3" s="47">
        <v>1.3020409376400001E-4</v>
      </c>
      <c r="AA3" s="47">
        <v>2.1715039718800001E-5</v>
      </c>
      <c r="AB3" s="47">
        <v>2.5043023491300001E-5</v>
      </c>
      <c r="AC3" s="47">
        <v>1.6351510269100001E-5</v>
      </c>
      <c r="AD3" s="47">
        <v>1.326573091E-5</v>
      </c>
      <c r="AE3" s="47">
        <v>8.5777219706199992E-6</v>
      </c>
      <c r="AF3" s="47">
        <v>6.5209045946100001E-6</v>
      </c>
      <c r="AG3" s="47">
        <v>2.6027210441100001E-5</v>
      </c>
      <c r="AH3" s="47">
        <v>2.7708313581200001E-5</v>
      </c>
      <c r="AI3" s="47">
        <v>2.7310409251499999E-5</v>
      </c>
      <c r="AJ3" s="47">
        <v>1.6948287471999999E-5</v>
      </c>
      <c r="AK3" s="47">
        <v>8.6271200928100002E-6</v>
      </c>
      <c r="AL3" s="47">
        <v>6.1553600486000003E-6</v>
      </c>
      <c r="AM3" s="47">
        <v>3.1306726551500002E-6</v>
      </c>
      <c r="AN3" s="47">
        <v>1.50082801916E-5</v>
      </c>
      <c r="AO3" s="47">
        <v>3.8791863397099997E-6</v>
      </c>
      <c r="AP3" s="47">
        <v>2.7833833283999999E-6</v>
      </c>
      <c r="AQ3" s="47">
        <v>2.0266711081299999E-6</v>
      </c>
      <c r="AR3" s="47">
        <v>5.6091114414300002E-6</v>
      </c>
      <c r="AS3" s="47">
        <v>8.6071531373600001E-6</v>
      </c>
      <c r="AT3" s="47">
        <v>9.3096497436800001E-6</v>
      </c>
      <c r="AU3" s="47">
        <v>4.9305538068500003E-5</v>
      </c>
      <c r="AV3" s="47">
        <v>5.5418434311199997E-5</v>
      </c>
      <c r="AW3" s="47">
        <v>4.5760618187900002E-5</v>
      </c>
      <c r="AX3" s="47">
        <v>2.26201118115E-5</v>
      </c>
      <c r="AY3" s="47">
        <v>1.4668286005399999E-5</v>
      </c>
      <c r="AZ3" s="47">
        <v>1.06544840278E-5</v>
      </c>
      <c r="BA3" s="47">
        <v>3.9377626443799997E-5</v>
      </c>
      <c r="BB3" s="47">
        <v>8.7295927452300001E-5</v>
      </c>
      <c r="BC3" s="47">
        <v>2.6422247162300001E-5</v>
      </c>
      <c r="BD3" s="47">
        <v>2.5207545398400001E-5</v>
      </c>
      <c r="BE3" s="47">
        <v>1.85266036939E-5</v>
      </c>
      <c r="BF3" s="47">
        <v>1.41746292655E-5</v>
      </c>
      <c r="BG3" s="47">
        <v>1.21147773879E-5</v>
      </c>
      <c r="BH3" s="47">
        <v>1.0828039528000001E-5</v>
      </c>
      <c r="BI3" s="47">
        <v>6.1556516734800001E-5</v>
      </c>
      <c r="BJ3" s="47">
        <v>7.6312579952999996E-5</v>
      </c>
      <c r="BK3" s="47">
        <v>6.89332337877E-5</v>
      </c>
      <c r="BL3" s="47">
        <v>3.7947591984500002E-5</v>
      </c>
      <c r="BM3" s="47">
        <v>2.5258481293799998E-5</v>
      </c>
      <c r="BN3" s="47">
        <v>1.99191104452E-5</v>
      </c>
    </row>
    <row r="4" spans="1:66">
      <c r="A4" s="47">
        <v>1.35776809806E-5</v>
      </c>
      <c r="B4" s="47">
        <v>1.2464902013900001E-5</v>
      </c>
      <c r="C4" s="47">
        <v>1.5611002085300001E-5</v>
      </c>
      <c r="D4" s="47">
        <v>2.0234209769000001E-5</v>
      </c>
      <c r="E4" s="47">
        <v>2.5214195145300001E-5</v>
      </c>
      <c r="F4" s="47">
        <v>-2.0957401155199999E-6</v>
      </c>
      <c r="G4" s="47">
        <v>-1.4411847729200001E-6</v>
      </c>
      <c r="H4" s="47">
        <v>-6.9419022269699997E-7</v>
      </c>
      <c r="I4" s="47">
        <v>1.0203842235799999E-6</v>
      </c>
      <c r="J4" s="47">
        <v>2.5185502461300001E-5</v>
      </c>
      <c r="K4" s="47">
        <v>-2.92761977649E-6</v>
      </c>
      <c r="L4" s="47">
        <v>-8.0545608504900001E-6</v>
      </c>
      <c r="M4" s="47">
        <v>-2.42546745224E-6</v>
      </c>
      <c r="N4" s="47">
        <v>-3.6909449510799999E-6</v>
      </c>
      <c r="O4" s="47">
        <v>-4.1195103303700002E-6</v>
      </c>
      <c r="P4" s="47">
        <v>-4.8570829595000003E-6</v>
      </c>
      <c r="Q4" s="47">
        <v>-4.1024569578900001E-6</v>
      </c>
      <c r="R4" s="47">
        <v>-3.2752571494799998E-5</v>
      </c>
      <c r="S4" s="47">
        <v>2.2070775235999998E-5</v>
      </c>
      <c r="T4" s="47">
        <v>2.7439044677E-5</v>
      </c>
      <c r="U4" s="47">
        <v>3.57589849972E-5</v>
      </c>
      <c r="V4" s="47">
        <v>2.6666893198600001E-5</v>
      </c>
      <c r="W4" s="47">
        <v>2.0537298575E-5</v>
      </c>
      <c r="X4" s="47">
        <v>1.7185864694900001E-5</v>
      </c>
      <c r="Y4" s="47">
        <v>-3.8589093334400002E-5</v>
      </c>
      <c r="Z4" s="47">
        <v>6.4404235660900003E-5</v>
      </c>
      <c r="AA4" s="47">
        <v>6.01353389382E-6</v>
      </c>
      <c r="AB4" s="47">
        <v>1.33170460584E-5</v>
      </c>
      <c r="AC4" s="47">
        <v>6.3060330197600002E-6</v>
      </c>
      <c r="AD4" s="47">
        <v>8.1100067082300004E-6</v>
      </c>
      <c r="AE4" s="47">
        <v>4.8615144781400003E-6</v>
      </c>
      <c r="AF4" s="47">
        <v>4.9767519438899997E-6</v>
      </c>
      <c r="AG4" s="47">
        <v>3.6132438905000003E-5</v>
      </c>
      <c r="AH4" s="47">
        <v>3.8037834298999998E-5</v>
      </c>
      <c r="AI4" s="47">
        <v>3.3707916182900001E-5</v>
      </c>
      <c r="AJ4" s="47">
        <v>2.2231197223199999E-5</v>
      </c>
      <c r="AK4" s="47">
        <v>1.48249692246E-5</v>
      </c>
      <c r="AL4" s="47">
        <v>1.16385139964E-5</v>
      </c>
      <c r="AM4" s="47">
        <v>1.24014322845E-5</v>
      </c>
      <c r="AN4" s="47">
        <v>1.0468181403E-5</v>
      </c>
      <c r="AO4" s="47">
        <v>2.1143991578800002E-6</v>
      </c>
      <c r="AP4" s="47">
        <v>1.77637363559E-6</v>
      </c>
      <c r="AQ4" s="47">
        <v>9.6325765753700002E-7</v>
      </c>
      <c r="AR4" s="47">
        <v>3.8094570841299999E-6</v>
      </c>
      <c r="AS4" s="47">
        <v>5.9901070676400003E-6</v>
      </c>
      <c r="AT4" s="47">
        <v>6.5143323420000003E-6</v>
      </c>
      <c r="AU4" s="47">
        <v>5.0390643756099999E-5</v>
      </c>
      <c r="AV4" s="47">
        <v>5.58524254431E-5</v>
      </c>
      <c r="AW4" s="47">
        <v>4.5944812762200003E-5</v>
      </c>
      <c r="AX4" s="47">
        <v>2.6495598281199999E-5</v>
      </c>
      <c r="AY4" s="47">
        <v>1.9409212431899999E-5</v>
      </c>
      <c r="AZ4" s="47">
        <v>1.58339185776E-5</v>
      </c>
      <c r="BA4" s="47">
        <v>-4.8859149693599998E-5</v>
      </c>
      <c r="BB4" s="47">
        <v>-6.2056319434599997E-6</v>
      </c>
      <c r="BC4" s="47">
        <v>1.89286408611E-6</v>
      </c>
      <c r="BD4" s="47">
        <v>1.07910521259E-5</v>
      </c>
      <c r="BE4" s="47">
        <v>7.4688555880599996E-6</v>
      </c>
      <c r="BF4" s="47">
        <v>7.5769816124199999E-6</v>
      </c>
      <c r="BG4" s="47">
        <v>6.80159228475E-6</v>
      </c>
      <c r="BH4" s="47">
        <v>6.1519838704499997E-6</v>
      </c>
      <c r="BI4" s="47">
        <v>6.2130114222100003E-5</v>
      </c>
      <c r="BJ4" s="47">
        <v>7.6965262883799994E-5</v>
      </c>
      <c r="BK4" s="47">
        <v>6.37628407363E-5</v>
      </c>
      <c r="BL4" s="47">
        <v>3.46416804011E-5</v>
      </c>
      <c r="BM4" s="47">
        <v>2.3527227034900002E-5</v>
      </c>
      <c r="BN4" s="47">
        <v>1.88115073346E-5</v>
      </c>
    </row>
    <row r="5" spans="1:66">
      <c r="A5" s="47">
        <v>1.9577569728899999E-5</v>
      </c>
      <c r="B5" s="47">
        <v>1.5611002085300001E-5</v>
      </c>
      <c r="C5" s="47">
        <v>2.4345274593400001E-5</v>
      </c>
      <c r="D5" s="47">
        <v>2.8061007589299999E-5</v>
      </c>
      <c r="E5" s="47">
        <v>3.3757008735399999E-5</v>
      </c>
      <c r="F5" s="47">
        <v>4.4968548758999999E-7</v>
      </c>
      <c r="G5" s="47">
        <v>2.6763100104799998E-6</v>
      </c>
      <c r="H5" s="47">
        <v>1.14697946874E-6</v>
      </c>
      <c r="I5" s="47">
        <v>2.7559011016900001E-6</v>
      </c>
      <c r="J5" s="47">
        <v>4.2296202239699999E-5</v>
      </c>
      <c r="K5" s="47">
        <v>9.1591251859300001E-6</v>
      </c>
      <c r="L5" s="47">
        <v>1.7138456449100001E-6</v>
      </c>
      <c r="M5" s="47">
        <v>3.1462423000199999E-6</v>
      </c>
      <c r="N5" s="47">
        <v>2.8416600020699999E-6</v>
      </c>
      <c r="O5" s="47">
        <v>1.7377641917100001E-6</v>
      </c>
      <c r="P5" s="47">
        <v>3.3028927540900002E-6</v>
      </c>
      <c r="Q5" s="47">
        <v>-1.6944187864699999E-8</v>
      </c>
      <c r="R5" s="47">
        <v>-3.7474982646199999E-5</v>
      </c>
      <c r="S5" s="47">
        <v>3.5574784104200001E-5</v>
      </c>
      <c r="T5" s="47">
        <v>4.3343645920100001E-5</v>
      </c>
      <c r="U5" s="47">
        <v>5.42835045708E-5</v>
      </c>
      <c r="V5" s="47">
        <v>4.0238327340799997E-5</v>
      </c>
      <c r="W5" s="47">
        <v>3.02359669313E-5</v>
      </c>
      <c r="X5" s="47">
        <v>2.5398332196299999E-5</v>
      </c>
      <c r="Y5" s="47">
        <v>2.6202204474100001E-4</v>
      </c>
      <c r="Z5" s="47">
        <v>1.6534879040999999E-4</v>
      </c>
      <c r="AA5" s="47">
        <v>2.9314902512200002E-5</v>
      </c>
      <c r="AB5" s="47">
        <v>2.9916380152500001E-5</v>
      </c>
      <c r="AC5" s="47">
        <v>1.7633283679699999E-5</v>
      </c>
      <c r="AD5" s="47">
        <v>1.6731729787899999E-5</v>
      </c>
      <c r="AE5" s="47">
        <v>1.0870292503500001E-5</v>
      </c>
      <c r="AF5" s="47">
        <v>1.06169899216E-5</v>
      </c>
      <c r="AG5" s="47">
        <v>5.8813592563900001E-5</v>
      </c>
      <c r="AH5" s="47">
        <v>6.1843960548999997E-5</v>
      </c>
      <c r="AI5" s="47">
        <v>5.1883203570700001E-5</v>
      </c>
      <c r="AJ5" s="47">
        <v>2.9745932214199999E-5</v>
      </c>
      <c r="AK5" s="47">
        <v>1.7625688161099998E-5</v>
      </c>
      <c r="AL5" s="47">
        <v>1.31502024196E-5</v>
      </c>
      <c r="AM5" s="47">
        <v>1.07023881504E-5</v>
      </c>
      <c r="AN5" s="47">
        <v>1.2121084604799999E-5</v>
      </c>
      <c r="AO5" s="47">
        <v>3.1608940638700001E-6</v>
      </c>
      <c r="AP5" s="47">
        <v>2.7734517477000001E-6</v>
      </c>
      <c r="AQ5" s="47">
        <v>1.8219744635399999E-6</v>
      </c>
      <c r="AR5" s="47">
        <v>6.6238693178800001E-6</v>
      </c>
      <c r="AS5" s="47">
        <v>9.7055763653799997E-6</v>
      </c>
      <c r="AT5" s="47">
        <v>1.0153205856299999E-5</v>
      </c>
      <c r="AU5" s="47">
        <v>7.7588873476499995E-5</v>
      </c>
      <c r="AV5" s="47">
        <v>8.5591432039999995E-5</v>
      </c>
      <c r="AW5" s="47">
        <v>7.01448324711E-5</v>
      </c>
      <c r="AX5" s="47">
        <v>3.86540636537E-5</v>
      </c>
      <c r="AY5" s="47">
        <v>2.7361381984000001E-5</v>
      </c>
      <c r="AZ5" s="47">
        <v>2.08018968725E-5</v>
      </c>
      <c r="BA5" s="47">
        <v>-1.11539346784E-5</v>
      </c>
      <c r="BB5" s="47">
        <v>4.7718953929099997E-5</v>
      </c>
      <c r="BC5" s="47">
        <v>2.0756144388999999E-5</v>
      </c>
      <c r="BD5" s="47">
        <v>2.4039120200300002E-5</v>
      </c>
      <c r="BE5" s="47">
        <v>1.6292918078800001E-5</v>
      </c>
      <c r="BF5" s="47">
        <v>1.7332189572600001E-5</v>
      </c>
      <c r="BG5" s="47">
        <v>1.4028697810199999E-5</v>
      </c>
      <c r="BH5" s="47">
        <v>1.17809705057E-5</v>
      </c>
      <c r="BI5" s="47">
        <v>9.1006357535299993E-5</v>
      </c>
      <c r="BJ5" s="47">
        <v>1.14491021758E-4</v>
      </c>
      <c r="BK5" s="47">
        <v>9.4176027659699998E-5</v>
      </c>
      <c r="BL5" s="47">
        <v>5.0738766385400001E-5</v>
      </c>
      <c r="BM5" s="47">
        <v>3.4472933016899998E-5</v>
      </c>
      <c r="BN5" s="47">
        <v>2.7421809485E-5</v>
      </c>
    </row>
    <row r="6" spans="1:66">
      <c r="A6" s="47">
        <v>2.49371650177E-5</v>
      </c>
      <c r="B6" s="47">
        <v>2.0234209769000001E-5</v>
      </c>
      <c r="C6" s="47">
        <v>2.8061007589299999E-5</v>
      </c>
      <c r="D6" s="47">
        <v>3.7591585206999999E-5</v>
      </c>
      <c r="E6" s="47">
        <v>4.7690815239999998E-5</v>
      </c>
      <c r="F6" s="47">
        <v>-2.2709908040299998E-6</v>
      </c>
      <c r="G6" s="47">
        <v>-4.9857984652799999E-6</v>
      </c>
      <c r="H6" s="47">
        <v>-1.6248149558400001E-6</v>
      </c>
      <c r="I6" s="47">
        <v>5.8818815843799996E-7</v>
      </c>
      <c r="J6" s="47">
        <v>4.8711042474799999E-5</v>
      </c>
      <c r="K6" s="47">
        <v>8.4435883392200008E-6</v>
      </c>
      <c r="L6" s="47">
        <v>-1.5163239499099999E-5</v>
      </c>
      <c r="M6" s="47">
        <v>-9.3942837431900005E-6</v>
      </c>
      <c r="N6" s="47">
        <v>-1.01173990919E-5</v>
      </c>
      <c r="O6" s="47">
        <v>-1.0018184164899999E-5</v>
      </c>
      <c r="P6" s="47">
        <v>-5.5521625240799997E-6</v>
      </c>
      <c r="Q6" s="47">
        <v>-6.8227213852800002E-6</v>
      </c>
      <c r="R6" s="47">
        <v>-2.62381141733E-5</v>
      </c>
      <c r="S6" s="47">
        <v>4.2994749029299999E-5</v>
      </c>
      <c r="T6" s="47">
        <v>5.0535173278199999E-5</v>
      </c>
      <c r="U6" s="47">
        <v>6.1920987976499999E-5</v>
      </c>
      <c r="V6" s="47">
        <v>4.5261065874299999E-5</v>
      </c>
      <c r="W6" s="47">
        <v>3.4616967565799998E-5</v>
      </c>
      <c r="X6" s="47">
        <v>2.94066745858E-5</v>
      </c>
      <c r="Y6" s="47">
        <v>1.4301525281999999E-4</v>
      </c>
      <c r="Z6" s="47">
        <v>1.8868212790100001E-4</v>
      </c>
      <c r="AA6" s="47">
        <v>3.2032689191200001E-5</v>
      </c>
      <c r="AB6" s="47">
        <v>3.9634751364699998E-5</v>
      </c>
      <c r="AC6" s="47">
        <v>2.6262158085399999E-5</v>
      </c>
      <c r="AD6" s="47">
        <v>2.4505940134699999E-5</v>
      </c>
      <c r="AE6" s="47">
        <v>1.5233516855899999E-5</v>
      </c>
      <c r="AF6" s="47">
        <v>1.3068259007600001E-5</v>
      </c>
      <c r="AG6" s="47">
        <v>6.4113155079700005E-5</v>
      </c>
      <c r="AH6" s="47">
        <v>6.4384542436699994E-5</v>
      </c>
      <c r="AI6" s="47">
        <v>5.41124356923E-5</v>
      </c>
      <c r="AJ6" s="47">
        <v>2.8976385283500001E-5</v>
      </c>
      <c r="AK6" s="47">
        <v>1.6268762360399998E-5</v>
      </c>
      <c r="AL6" s="47">
        <v>1.0921643854100001E-5</v>
      </c>
      <c r="AM6" s="47">
        <v>1.7676534668700002E-5</v>
      </c>
      <c r="AN6" s="47">
        <v>2.3649106951199999E-5</v>
      </c>
      <c r="AO6" s="47">
        <v>5.5747397124800003E-6</v>
      </c>
      <c r="AP6" s="47">
        <v>4.5168420239700003E-6</v>
      </c>
      <c r="AQ6" s="47">
        <v>3.4458789525499999E-6</v>
      </c>
      <c r="AR6" s="47">
        <v>9.5204104427400001E-6</v>
      </c>
      <c r="AS6" s="47">
        <v>1.31044068665E-5</v>
      </c>
      <c r="AT6" s="47">
        <v>1.27957510698E-5</v>
      </c>
      <c r="AU6" s="47">
        <v>8.2010781441500005E-5</v>
      </c>
      <c r="AV6" s="47">
        <v>8.9039434005899997E-5</v>
      </c>
      <c r="AW6" s="47">
        <v>7.4434965237499994E-5</v>
      </c>
      <c r="AX6" s="47">
        <v>3.9143351525099998E-5</v>
      </c>
      <c r="AY6" s="47">
        <v>2.7518720493900001E-5</v>
      </c>
      <c r="AZ6" s="47">
        <v>2.1507027951699999E-5</v>
      </c>
      <c r="BA6" s="47">
        <v>-1.02738356036E-4</v>
      </c>
      <c r="BB6" s="47">
        <v>3.3428657687E-5</v>
      </c>
      <c r="BC6" s="47">
        <v>2.1296610625299999E-5</v>
      </c>
      <c r="BD6" s="47">
        <v>3.2606223554800003E-5</v>
      </c>
      <c r="BE6" s="47">
        <v>2.1996102767899999E-5</v>
      </c>
      <c r="BF6" s="47">
        <v>2.2427687105299998E-5</v>
      </c>
      <c r="BG6" s="47">
        <v>1.8822896042500001E-5</v>
      </c>
      <c r="BH6" s="47">
        <v>1.6166094346600001E-5</v>
      </c>
      <c r="BI6" s="47">
        <v>1.2137136820900001E-4</v>
      </c>
      <c r="BJ6" s="47">
        <v>1.45111641676E-4</v>
      </c>
      <c r="BK6" s="47">
        <v>1.18173669525E-4</v>
      </c>
      <c r="BL6" s="47">
        <v>6.1706602859600004E-5</v>
      </c>
      <c r="BM6" s="47">
        <v>4.0640965543699997E-5</v>
      </c>
      <c r="BN6" s="47">
        <v>3.1659853528300002E-5</v>
      </c>
    </row>
    <row r="7" spans="1:66">
      <c r="A7" s="47">
        <v>2.7359688920899999E-5</v>
      </c>
      <c r="B7" s="47">
        <v>2.5214195145300001E-5</v>
      </c>
      <c r="C7" s="47">
        <v>3.3757008735399999E-5</v>
      </c>
      <c r="D7" s="47">
        <v>4.7690815239999998E-5</v>
      </c>
      <c r="E7" s="47">
        <v>1.78799233716E-4</v>
      </c>
      <c r="F7" s="47">
        <v>3.4768673468900002E-5</v>
      </c>
      <c r="G7" s="47">
        <v>4.8262929441900002E-6</v>
      </c>
      <c r="H7" s="47">
        <v>-1.0242298050000001E-6</v>
      </c>
      <c r="I7" s="47">
        <v>4.9755938862300003E-6</v>
      </c>
      <c r="J7" s="47">
        <v>3.5954436503099997E-5</v>
      </c>
      <c r="K7" s="47">
        <v>2.5136852958199999E-5</v>
      </c>
      <c r="L7" s="47">
        <v>-7.7676259705200006E-5</v>
      </c>
      <c r="M7" s="47">
        <v>-5.6409585968700003E-5</v>
      </c>
      <c r="N7" s="47">
        <v>-5.3685223044300001E-5</v>
      </c>
      <c r="O7" s="47">
        <v>-4.5614493450900001E-5</v>
      </c>
      <c r="P7" s="47">
        <v>-3.9591003367999999E-5</v>
      </c>
      <c r="Q7" s="47">
        <v>-3.6008724128999999E-5</v>
      </c>
      <c r="R7" s="47">
        <v>-3.9531668216299999E-5</v>
      </c>
      <c r="S7" s="47">
        <v>4.0278447236599998E-5</v>
      </c>
      <c r="T7" s="47">
        <v>5.2819851420900001E-5</v>
      </c>
      <c r="U7" s="47">
        <v>6.89410179944E-5</v>
      </c>
      <c r="V7" s="47">
        <v>5.2100922241300003E-5</v>
      </c>
      <c r="W7" s="47">
        <v>3.9567555259699997E-5</v>
      </c>
      <c r="X7" s="47">
        <v>3.7390013480900003E-5</v>
      </c>
      <c r="Y7" s="47">
        <v>5.9750757446599998E-5</v>
      </c>
      <c r="Z7" s="47">
        <v>7.8101936395999995E-5</v>
      </c>
      <c r="AA7" s="47">
        <v>-1.6144515005699998E-5</v>
      </c>
      <c r="AB7" s="47">
        <v>1.9953110816499999E-5</v>
      </c>
      <c r="AC7" s="47">
        <v>2.7888424580099998E-5</v>
      </c>
      <c r="AD7" s="47">
        <v>1.30807938775E-5</v>
      </c>
      <c r="AE7" s="47">
        <v>5.0811083358800001E-6</v>
      </c>
      <c r="AF7" s="47">
        <v>6.1945864989900001E-6</v>
      </c>
      <c r="AG7" s="47">
        <v>1.14369704559E-4</v>
      </c>
      <c r="AH7" s="47">
        <v>9.1106037666600001E-5</v>
      </c>
      <c r="AI7" s="47">
        <v>7.5841383661600002E-5</v>
      </c>
      <c r="AJ7" s="47">
        <v>3.9054063302800003E-5</v>
      </c>
      <c r="AK7" s="47">
        <v>2.2845562389200001E-5</v>
      </c>
      <c r="AL7" s="47">
        <v>1.4997314767599999E-5</v>
      </c>
      <c r="AM7" s="47">
        <v>6.4467619607400006E-5</v>
      </c>
      <c r="AN7" s="47">
        <v>5.0244779972900003E-5</v>
      </c>
      <c r="AO7" s="47">
        <v>7.8282422216700001E-6</v>
      </c>
      <c r="AP7" s="47">
        <v>6.6872039345599999E-6</v>
      </c>
      <c r="AQ7" s="47">
        <v>6.1321674010799999E-6</v>
      </c>
      <c r="AR7" s="47">
        <v>7.19855676611E-6</v>
      </c>
      <c r="AS7" s="47">
        <v>8.5217008695600003E-6</v>
      </c>
      <c r="AT7" s="47">
        <v>7.0554005832999999E-6</v>
      </c>
      <c r="AU7" s="47">
        <v>9.2727684196200003E-5</v>
      </c>
      <c r="AV7" s="47">
        <v>9.3239232007499997E-5</v>
      </c>
      <c r="AW7" s="47">
        <v>7.4928917739700002E-5</v>
      </c>
      <c r="AX7" s="47">
        <v>3.5963835846799998E-5</v>
      </c>
      <c r="AY7" s="47">
        <v>2.6503375909399999E-5</v>
      </c>
      <c r="AZ7" s="47">
        <v>2.5850779426600001E-5</v>
      </c>
      <c r="BA7" s="47">
        <v>-5.0156707599600004E-4</v>
      </c>
      <c r="BB7" s="47">
        <v>-8.0162851719400001E-5</v>
      </c>
      <c r="BC7" s="47">
        <v>-1.84147119979E-5</v>
      </c>
      <c r="BD7" s="47">
        <v>1.8352068692699999E-5</v>
      </c>
      <c r="BE7" s="47">
        <v>1.2514794417E-5</v>
      </c>
      <c r="BF7" s="47">
        <v>1.4194580321199999E-5</v>
      </c>
      <c r="BG7" s="47">
        <v>1.61645302669E-5</v>
      </c>
      <c r="BH7" s="47">
        <v>1.68589729998E-5</v>
      </c>
      <c r="BI7" s="47">
        <v>1.7905043337699999E-4</v>
      </c>
      <c r="BJ7" s="47">
        <v>2.1442750798E-4</v>
      </c>
      <c r="BK7" s="47">
        <v>1.4893722301800001E-4</v>
      </c>
      <c r="BL7" s="47">
        <v>7.5235193348500005E-5</v>
      </c>
      <c r="BM7" s="47">
        <v>4.3780036257699999E-5</v>
      </c>
      <c r="BN7" s="47">
        <v>3.4411013542799999E-5</v>
      </c>
    </row>
    <row r="8" spans="1:66">
      <c r="A8" s="47">
        <v>1.0897543269099999E-6</v>
      </c>
      <c r="B8" s="47">
        <v>-2.0957401155199999E-6</v>
      </c>
      <c r="C8" s="47">
        <v>4.4968548758999999E-7</v>
      </c>
      <c r="D8" s="47">
        <v>-2.2709908040299998E-6</v>
      </c>
      <c r="E8" s="47">
        <v>3.4768673468900002E-5</v>
      </c>
      <c r="F8" s="47">
        <v>1.3691249751199999E-4</v>
      </c>
      <c r="G8" s="47">
        <v>-9.7244414166899997E-6</v>
      </c>
      <c r="H8" s="47">
        <v>6.9958785408099997E-6</v>
      </c>
      <c r="I8" s="47">
        <v>9.8494546758799998E-6</v>
      </c>
      <c r="J8" s="47">
        <v>9.1974966497000004E-6</v>
      </c>
      <c r="K8" s="47">
        <v>1.4543313272900001E-4</v>
      </c>
      <c r="L8" s="47">
        <v>1.1152315300099999E-4</v>
      </c>
      <c r="M8" s="47">
        <v>3.6036193398400002E-5</v>
      </c>
      <c r="N8" s="47">
        <v>1.9276863587899999E-5</v>
      </c>
      <c r="O8" s="47">
        <v>2.3609840531200001E-5</v>
      </c>
      <c r="P8" s="47">
        <v>3.2787981719200002E-5</v>
      </c>
      <c r="Q8" s="47">
        <v>2.50698198749E-6</v>
      </c>
      <c r="R8" s="47">
        <v>2.1048366549599999E-7</v>
      </c>
      <c r="S8" s="47">
        <v>-1.2744921703100001E-6</v>
      </c>
      <c r="T8" s="47">
        <v>5.5983735405400002E-6</v>
      </c>
      <c r="U8" s="47">
        <v>5.49120715729E-6</v>
      </c>
      <c r="V8" s="47">
        <v>9.1825109195200004E-6</v>
      </c>
      <c r="W8" s="47">
        <v>9.2819098382399995E-6</v>
      </c>
      <c r="X8" s="47">
        <v>1.0919747921400001E-5</v>
      </c>
      <c r="Y8" s="47">
        <v>2.1127899174299999E-3</v>
      </c>
      <c r="Z8" s="47">
        <v>2.21305317499E-6</v>
      </c>
      <c r="AA8" s="47">
        <v>8.9334975199100006E-6</v>
      </c>
      <c r="AB8" s="47">
        <v>1.2637377204E-5</v>
      </c>
      <c r="AC8" s="47">
        <v>-1.20710500134E-5</v>
      </c>
      <c r="AD8" s="47">
        <v>-1.09313201048E-5</v>
      </c>
      <c r="AE8" s="47">
        <v>-8.6928395697899996E-6</v>
      </c>
      <c r="AF8" s="47">
        <v>-5.281218626E-6</v>
      </c>
      <c r="AG8" s="47">
        <v>5.2147249379700003E-5</v>
      </c>
      <c r="AH8" s="47">
        <v>4.87396195468E-5</v>
      </c>
      <c r="AI8" s="47">
        <v>3.6690910455000003E-5</v>
      </c>
      <c r="AJ8" s="47">
        <v>1.8886039202399998E-5</v>
      </c>
      <c r="AK8" s="47">
        <v>1.06433862689E-5</v>
      </c>
      <c r="AL8" s="47">
        <v>8.5697827672300003E-6</v>
      </c>
      <c r="AM8" s="47">
        <v>-4.8518966659699998E-5</v>
      </c>
      <c r="AN8" s="47">
        <v>-3.9396834805199997E-5</v>
      </c>
      <c r="AO8" s="47">
        <v>-9.9786861539900002E-6</v>
      </c>
      <c r="AP8" s="47">
        <v>-5.9475416417999997E-6</v>
      </c>
      <c r="AQ8" s="47">
        <v>-3.0366495150200002E-6</v>
      </c>
      <c r="AR8" s="47">
        <v>-5.6419745117099999E-6</v>
      </c>
      <c r="AS8" s="47">
        <v>-8.7430002794700006E-6</v>
      </c>
      <c r="AT8" s="47">
        <v>-9.0367338033699994E-6</v>
      </c>
      <c r="AU8" s="47">
        <v>2.34646601065E-5</v>
      </c>
      <c r="AV8" s="47">
        <v>2.4450902838799999E-5</v>
      </c>
      <c r="AW8" s="47">
        <v>1.34802369358E-5</v>
      </c>
      <c r="AX8" s="47">
        <v>-3.6113500878100002E-7</v>
      </c>
      <c r="AY8" s="47">
        <v>-1.35694939157E-6</v>
      </c>
      <c r="AZ8" s="47">
        <v>-3.14699358148E-6</v>
      </c>
      <c r="BA8" s="47">
        <v>3.9611624954200001E-5</v>
      </c>
      <c r="BB8" s="47">
        <v>1.3324666091199999E-4</v>
      </c>
      <c r="BC8" s="47">
        <v>3.3835888094800002E-5</v>
      </c>
      <c r="BD8" s="47">
        <v>7.2866640809400001E-6</v>
      </c>
      <c r="BE8" s="47">
        <v>-1.27014765857E-6</v>
      </c>
      <c r="BF8" s="47">
        <v>-1.04992009028E-5</v>
      </c>
      <c r="BG8" s="47">
        <v>-5.7939565451799997E-6</v>
      </c>
      <c r="BH8" s="47">
        <v>-2.0128983850099999E-6</v>
      </c>
      <c r="BI8" s="47">
        <v>4.99764166606E-6</v>
      </c>
      <c r="BJ8" s="47">
        <v>-5.4216061030199998E-6</v>
      </c>
      <c r="BK8" s="47">
        <v>-1.95701342042E-5</v>
      </c>
      <c r="BL8" s="47">
        <v>-8.7231611707500004E-6</v>
      </c>
      <c r="BM8" s="47">
        <v>-8.8324293104100005E-6</v>
      </c>
      <c r="BN8" s="47">
        <v>-6.2079498492799996E-6</v>
      </c>
    </row>
    <row r="9" spans="1:66">
      <c r="A9" s="47">
        <v>-1.36245601066E-6</v>
      </c>
      <c r="B9" s="47">
        <v>-1.4411847729200001E-6</v>
      </c>
      <c r="C9" s="47">
        <v>2.6763100104799998E-6</v>
      </c>
      <c r="D9" s="47">
        <v>-4.9857984652799999E-6</v>
      </c>
      <c r="E9" s="47">
        <v>4.8262929441900002E-6</v>
      </c>
      <c r="F9" s="47">
        <v>-9.7244414166899997E-6</v>
      </c>
      <c r="G9" s="47">
        <v>1.8629753658699999E-4</v>
      </c>
      <c r="H9" s="47">
        <v>1.8983044898900002E-5</v>
      </c>
      <c r="I9" s="47">
        <v>1.3009452443E-5</v>
      </c>
      <c r="J9" s="47">
        <v>-5.7907255397900004E-6</v>
      </c>
      <c r="K9" s="47">
        <v>2.3249267931599999E-5</v>
      </c>
      <c r="L9" s="47">
        <v>8.7552748925200005E-5</v>
      </c>
      <c r="M9" s="47">
        <v>1.5704539305599999E-5</v>
      </c>
      <c r="N9" s="47">
        <v>2.0811858945600001E-5</v>
      </c>
      <c r="O9" s="47">
        <v>2.6485707829199999E-5</v>
      </c>
      <c r="P9" s="47">
        <v>2.2305668304199999E-5</v>
      </c>
      <c r="Q9" s="47">
        <v>1.6188840132500001E-5</v>
      </c>
      <c r="R9" s="47">
        <v>-1.1441875242899999E-4</v>
      </c>
      <c r="S9" s="47">
        <v>8.9813077645600002E-8</v>
      </c>
      <c r="T9" s="47">
        <v>3.7582937249199999E-6</v>
      </c>
      <c r="U9" s="47">
        <v>-1.5648142657000001E-6</v>
      </c>
      <c r="V9" s="47">
        <v>7.2159727543099997E-6</v>
      </c>
      <c r="W9" s="47">
        <v>4.6006115286300002E-6</v>
      </c>
      <c r="X9" s="47">
        <v>3.7128041744099999E-6</v>
      </c>
      <c r="Y9" s="47">
        <v>2.3271621879099999E-4</v>
      </c>
      <c r="Z9" s="47">
        <v>6.5837094802199999E-5</v>
      </c>
      <c r="AA9" s="47">
        <v>-1.25145918439E-5</v>
      </c>
      <c r="AB9" s="47">
        <v>-5.7887882726300004E-6</v>
      </c>
      <c r="AC9" s="47">
        <v>-2.2745632284300001E-5</v>
      </c>
      <c r="AD9" s="47">
        <v>-1.3399650703800001E-5</v>
      </c>
      <c r="AE9" s="47">
        <v>-1.4428067834100001E-5</v>
      </c>
      <c r="AF9" s="47">
        <v>-4.4672269209999999E-6</v>
      </c>
      <c r="AG9" s="47">
        <v>-6.0820351087899999E-6</v>
      </c>
      <c r="AH9" s="47">
        <v>-1.04691819252E-5</v>
      </c>
      <c r="AI9" s="47">
        <v>-1.1657276387200001E-5</v>
      </c>
      <c r="AJ9" s="47">
        <v>3.28720026105E-6</v>
      </c>
      <c r="AK9" s="47">
        <v>2.7751596795400001E-6</v>
      </c>
      <c r="AL9" s="47">
        <v>-4.8906114704600002E-7</v>
      </c>
      <c r="AM9" s="47">
        <v>1.5968538831699999E-5</v>
      </c>
      <c r="AN9" s="47">
        <v>-7.5332134753399997E-5</v>
      </c>
      <c r="AO9" s="47">
        <v>-1.8704111490699999E-5</v>
      </c>
      <c r="AP9" s="47">
        <v>-8.6256579017800004E-6</v>
      </c>
      <c r="AQ9" s="47">
        <v>-6.5518963740900003E-6</v>
      </c>
      <c r="AR9" s="47">
        <v>-7.2831058406999997E-6</v>
      </c>
      <c r="AS9" s="47">
        <v>-1.0414950079200001E-5</v>
      </c>
      <c r="AT9" s="47">
        <v>-1.11107928019E-5</v>
      </c>
      <c r="AU9" s="47">
        <v>5.8640450852199999E-6</v>
      </c>
      <c r="AV9" s="47">
        <v>-1.0656395433800001E-5</v>
      </c>
      <c r="AW9" s="47">
        <v>-2.6644086031200001E-5</v>
      </c>
      <c r="AX9" s="47">
        <v>-8.8977727872300002E-6</v>
      </c>
      <c r="AY9" s="47">
        <v>-9.7222958962799999E-6</v>
      </c>
      <c r="AZ9" s="47">
        <v>-1.40964746583E-5</v>
      </c>
      <c r="BA9" s="47">
        <v>-2.42125626052E-4</v>
      </c>
      <c r="BB9" s="47">
        <v>-1.61842366682E-6</v>
      </c>
      <c r="BC9" s="47">
        <v>-2.1547510053600002E-5</v>
      </c>
      <c r="BD9" s="47">
        <v>-9.5320236377100004E-6</v>
      </c>
      <c r="BE9" s="47">
        <v>-1.5246896202900001E-5</v>
      </c>
      <c r="BF9" s="47">
        <v>-1.1037164122100001E-5</v>
      </c>
      <c r="BG9" s="47">
        <v>-1.9534608821499999E-5</v>
      </c>
      <c r="BH9" s="47">
        <v>-2.43666444299E-5</v>
      </c>
      <c r="BI9" s="47">
        <v>-3.86280204098E-5</v>
      </c>
      <c r="BJ9" s="47">
        <v>-4.01524876855E-5</v>
      </c>
      <c r="BK9" s="47">
        <v>-2.4152259864700002E-5</v>
      </c>
      <c r="BL9" s="47">
        <v>-1.1041572930099999E-5</v>
      </c>
      <c r="BM9" s="47">
        <v>-7.17714860687E-6</v>
      </c>
      <c r="BN9" s="47">
        <v>-5.5250497098100001E-6</v>
      </c>
    </row>
    <row r="10" spans="1:66">
      <c r="A10" s="47">
        <v>2.8902416073199999E-6</v>
      </c>
      <c r="B10" s="47">
        <v>-6.9419022269699997E-7</v>
      </c>
      <c r="C10" s="47">
        <v>1.14697946874E-6</v>
      </c>
      <c r="D10" s="47">
        <v>-1.6248149558400001E-6</v>
      </c>
      <c r="E10" s="47">
        <v>-1.0242298050000001E-6</v>
      </c>
      <c r="F10" s="47">
        <v>6.9958785408099997E-6</v>
      </c>
      <c r="G10" s="47">
        <v>1.8983044898900002E-5</v>
      </c>
      <c r="H10" s="47">
        <v>1.6582109551100001E-5</v>
      </c>
      <c r="I10" s="47">
        <v>1.49164181786E-5</v>
      </c>
      <c r="J10" s="47">
        <v>6.9052461381900003E-6</v>
      </c>
      <c r="K10" s="47">
        <v>3.06800890874E-6</v>
      </c>
      <c r="L10" s="47">
        <v>2.89321206174E-5</v>
      </c>
      <c r="M10" s="47">
        <v>1.43717980845E-5</v>
      </c>
      <c r="N10" s="47">
        <v>1.57310852785E-5</v>
      </c>
      <c r="O10" s="47">
        <v>6.8287083070699998E-6</v>
      </c>
      <c r="P10" s="47">
        <v>5.9485341425299998E-6</v>
      </c>
      <c r="Q10" s="47">
        <v>6.1078562980200002E-6</v>
      </c>
      <c r="R10" s="47">
        <v>-3.8344318827800001E-5</v>
      </c>
      <c r="S10" s="47">
        <v>1.14245685886E-5</v>
      </c>
      <c r="T10" s="47">
        <v>1.6257097470100002E-5</v>
      </c>
      <c r="U10" s="47">
        <v>1.74283331106E-5</v>
      </c>
      <c r="V10" s="47">
        <v>1.2129168145700001E-5</v>
      </c>
      <c r="W10" s="47">
        <v>8.6562959625899999E-6</v>
      </c>
      <c r="X10" s="47">
        <v>7.3836307863E-6</v>
      </c>
      <c r="Y10" s="47">
        <v>1.4035278792899999E-4</v>
      </c>
      <c r="Z10" s="47">
        <v>-2.0240842556599999E-5</v>
      </c>
      <c r="AA10" s="47">
        <v>-8.9182348898700005E-6</v>
      </c>
      <c r="AB10" s="47">
        <v>-1.0904812663199999E-6</v>
      </c>
      <c r="AC10" s="47">
        <v>-6.5510669141099998E-6</v>
      </c>
      <c r="AD10" s="47">
        <v>-4.1330231738400002E-6</v>
      </c>
      <c r="AE10" s="47">
        <v>-2.0742077364999998E-6</v>
      </c>
      <c r="AF10" s="47">
        <v>-2.1460728493000002E-6</v>
      </c>
      <c r="AG10" s="47">
        <v>6.5237863751699999E-6</v>
      </c>
      <c r="AH10" s="47">
        <v>1.20112168526E-5</v>
      </c>
      <c r="AI10" s="47">
        <v>1.63159198168E-5</v>
      </c>
      <c r="AJ10" s="47">
        <v>1.52210460117E-5</v>
      </c>
      <c r="AK10" s="47">
        <v>9.9379296068400002E-6</v>
      </c>
      <c r="AL10" s="47">
        <v>8.4558628954400001E-6</v>
      </c>
      <c r="AM10" s="47">
        <v>-4.4074533088999998E-6</v>
      </c>
      <c r="AN10" s="47">
        <v>-1.41876876303E-5</v>
      </c>
      <c r="AO10" s="47">
        <v>-3.2840527334400001E-6</v>
      </c>
      <c r="AP10" s="47">
        <v>-1.5799100388900001E-6</v>
      </c>
      <c r="AQ10" s="47">
        <v>-8.1078644971099999E-7</v>
      </c>
      <c r="AR10" s="47">
        <v>-9.6738976938800006E-7</v>
      </c>
      <c r="AS10" s="47">
        <v>3.9836448096200001E-7</v>
      </c>
      <c r="AT10" s="47">
        <v>2.0043368787600001E-6</v>
      </c>
      <c r="AU10" s="47">
        <v>2.0895389547300001E-5</v>
      </c>
      <c r="AV10" s="47">
        <v>3.1020934714299997E-5</v>
      </c>
      <c r="AW10" s="47">
        <v>2.8994910305899999E-5</v>
      </c>
      <c r="AX10" s="47">
        <v>1.84404892939E-5</v>
      </c>
      <c r="AY10" s="47">
        <v>1.33604222387E-5</v>
      </c>
      <c r="AZ10" s="47">
        <v>8.7245677013800001E-6</v>
      </c>
      <c r="BA10" s="47">
        <v>9.9539009994399998E-5</v>
      </c>
      <c r="BB10" s="47">
        <v>4.8527135627600003E-5</v>
      </c>
      <c r="BC10" s="47">
        <v>6.4972689853900003E-6</v>
      </c>
      <c r="BD10" s="47">
        <v>2.8802362950899998E-6</v>
      </c>
      <c r="BE10" s="47">
        <v>3.9133976564200001E-6</v>
      </c>
      <c r="BF10" s="47">
        <v>-1.18262773285E-6</v>
      </c>
      <c r="BG10" s="47">
        <v>-1.1979664703200001E-6</v>
      </c>
      <c r="BH10" s="47">
        <v>-8.7452052037499997E-7</v>
      </c>
      <c r="BI10" s="47">
        <v>-2.1055978939299999E-6</v>
      </c>
      <c r="BJ10" s="47">
        <v>1.45385703777E-6</v>
      </c>
      <c r="BK10" s="47">
        <v>1.4312719108E-5</v>
      </c>
      <c r="BL10" s="47">
        <v>8.6705451417300005E-6</v>
      </c>
      <c r="BM10" s="47">
        <v>5.59922737124E-6</v>
      </c>
      <c r="BN10" s="47">
        <v>4.7768722272700003E-6</v>
      </c>
    </row>
    <row r="11" spans="1:66">
      <c r="A11" s="47">
        <v>4.2040489040900001E-6</v>
      </c>
      <c r="B11" s="47">
        <v>1.0203842235799999E-6</v>
      </c>
      <c r="C11" s="47">
        <v>2.7559011016900001E-6</v>
      </c>
      <c r="D11" s="47">
        <v>5.8818815843799996E-7</v>
      </c>
      <c r="E11" s="47">
        <v>4.9755938862300003E-6</v>
      </c>
      <c r="F11" s="47">
        <v>9.8494546758799998E-6</v>
      </c>
      <c r="G11" s="47">
        <v>1.3009452443E-5</v>
      </c>
      <c r="H11" s="47">
        <v>1.49164181786E-5</v>
      </c>
      <c r="I11" s="47">
        <v>1.6288653171699999E-5</v>
      </c>
      <c r="J11" s="47">
        <v>1.11911337792E-5</v>
      </c>
      <c r="K11" s="47">
        <v>-5.5298779889E-6</v>
      </c>
      <c r="L11" s="47">
        <v>2.1485904365299999E-5</v>
      </c>
      <c r="M11" s="47">
        <v>8.9878136241699995E-6</v>
      </c>
      <c r="N11" s="47">
        <v>1.1687074527299999E-5</v>
      </c>
      <c r="O11" s="47">
        <v>3.8206471350799996E-6</v>
      </c>
      <c r="P11" s="47">
        <v>3.7187546315499998E-6</v>
      </c>
      <c r="Q11" s="47">
        <v>3.9926141595999999E-6</v>
      </c>
      <c r="R11" s="47">
        <v>-3.13854590466E-5</v>
      </c>
      <c r="S11" s="47">
        <v>1.2394736285300001E-5</v>
      </c>
      <c r="T11" s="47">
        <v>1.8902239029899999E-5</v>
      </c>
      <c r="U11" s="47">
        <v>2.21949219245E-5</v>
      </c>
      <c r="V11" s="47">
        <v>1.5560457820899999E-5</v>
      </c>
      <c r="W11" s="47">
        <v>1.17548878531E-5</v>
      </c>
      <c r="X11" s="47">
        <v>1.0344127323999999E-5</v>
      </c>
      <c r="Y11" s="47">
        <v>1.2993008239799999E-4</v>
      </c>
      <c r="Z11" s="47">
        <v>-2.37290135669E-5</v>
      </c>
      <c r="AA11" s="47">
        <v>-1.21750923732E-5</v>
      </c>
      <c r="AB11" s="47">
        <v>-2.7670472893699999E-6</v>
      </c>
      <c r="AC11" s="47">
        <v>-5.6349366918100001E-6</v>
      </c>
      <c r="AD11" s="47">
        <v>-3.7110365658500002E-6</v>
      </c>
      <c r="AE11" s="47">
        <v>-1.62250187073E-6</v>
      </c>
      <c r="AF11" s="47">
        <v>-2.1307275176999998E-6</v>
      </c>
      <c r="AG11" s="47">
        <v>1.5044462278E-5</v>
      </c>
      <c r="AH11" s="47">
        <v>2.0591227888999998E-5</v>
      </c>
      <c r="AI11" s="47">
        <v>2.4166594571000001E-5</v>
      </c>
      <c r="AJ11" s="47">
        <v>1.9784607557499999E-5</v>
      </c>
      <c r="AK11" s="47">
        <v>1.33496246468E-5</v>
      </c>
      <c r="AL11" s="47">
        <v>1.14692563072E-5</v>
      </c>
      <c r="AM11" s="47">
        <v>-2.9031106399499999E-6</v>
      </c>
      <c r="AN11" s="47">
        <v>-1.2013853641200001E-5</v>
      </c>
      <c r="AO11" s="47">
        <v>-3.2236784936E-6</v>
      </c>
      <c r="AP11" s="47">
        <v>-1.5478637758E-6</v>
      </c>
      <c r="AQ11" s="47">
        <v>-8.1884780632099996E-7</v>
      </c>
      <c r="AR11" s="47">
        <v>-8.0424502758899996E-7</v>
      </c>
      <c r="AS11" s="47">
        <v>1.0330534677399999E-6</v>
      </c>
      <c r="AT11" s="47">
        <v>2.9679219721200001E-6</v>
      </c>
      <c r="AU11" s="47">
        <v>2.8854934901599999E-5</v>
      </c>
      <c r="AV11" s="47">
        <v>4.1369531789900001E-5</v>
      </c>
      <c r="AW11" s="47">
        <v>3.7811810134299998E-5</v>
      </c>
      <c r="AX11" s="47">
        <v>2.3098325070399999E-5</v>
      </c>
      <c r="AY11" s="47">
        <v>1.6564970872099999E-5</v>
      </c>
      <c r="AZ11" s="47">
        <v>1.15820184072E-5</v>
      </c>
      <c r="BA11" s="47">
        <v>8.26825635224E-5</v>
      </c>
      <c r="BB11" s="47">
        <v>4.5362787875099997E-5</v>
      </c>
      <c r="BC11" s="47">
        <v>3.9556492583699997E-6</v>
      </c>
      <c r="BD11" s="47">
        <v>1.0470329771999999E-6</v>
      </c>
      <c r="BE11" s="47">
        <v>3.9549071363000001E-6</v>
      </c>
      <c r="BF11" s="47">
        <v>-5.4935550782700003E-7</v>
      </c>
      <c r="BG11" s="47">
        <v>-1.0590565147900001E-6</v>
      </c>
      <c r="BH11" s="47">
        <v>-1.05928422017E-6</v>
      </c>
      <c r="BI11" s="47">
        <v>6.2587431974599997E-6</v>
      </c>
      <c r="BJ11" s="47">
        <v>1.0698793406000001E-5</v>
      </c>
      <c r="BK11" s="47">
        <v>2.1781064408900001E-5</v>
      </c>
      <c r="BL11" s="47">
        <v>1.24103448838E-5</v>
      </c>
      <c r="BM11" s="47">
        <v>7.8844760626799992E-6</v>
      </c>
      <c r="BN11" s="47">
        <v>6.5832024549599998E-6</v>
      </c>
    </row>
    <row r="12" spans="1:66">
      <c r="A12" s="47">
        <v>2.86732304792E-5</v>
      </c>
      <c r="B12" s="47">
        <v>2.5185502461300001E-5</v>
      </c>
      <c r="C12" s="47">
        <v>4.2296202239699999E-5</v>
      </c>
      <c r="D12" s="47">
        <v>4.8711042474799999E-5</v>
      </c>
      <c r="E12" s="47">
        <v>3.5954436503099997E-5</v>
      </c>
      <c r="F12" s="47">
        <v>9.1974966497000004E-6</v>
      </c>
      <c r="G12" s="47">
        <v>-5.7907255397900004E-6</v>
      </c>
      <c r="H12" s="47">
        <v>6.9052461381900003E-6</v>
      </c>
      <c r="I12" s="47">
        <v>1.11911337792E-5</v>
      </c>
      <c r="J12" s="47">
        <v>2.1554982062299999E-4</v>
      </c>
      <c r="K12" s="47">
        <v>1.3210237263000001E-4</v>
      </c>
      <c r="L12" s="47">
        <v>4.1567511625400002E-5</v>
      </c>
      <c r="M12" s="47">
        <v>1.68404940769E-5</v>
      </c>
      <c r="N12" s="47">
        <v>1.4954703096400001E-5</v>
      </c>
      <c r="O12" s="47">
        <v>1.0432929076899999E-5</v>
      </c>
      <c r="P12" s="47">
        <v>1.06417966522E-5</v>
      </c>
      <c r="Q12" s="47">
        <v>-3.6737368143700001E-6</v>
      </c>
      <c r="R12" s="47">
        <v>2.4480412608899998E-6</v>
      </c>
      <c r="S12" s="47">
        <v>6.2113662246700003E-5</v>
      </c>
      <c r="T12" s="47">
        <v>7.7982865777600002E-5</v>
      </c>
      <c r="U12" s="47">
        <v>1.07347964862E-4</v>
      </c>
      <c r="V12" s="47">
        <v>7.1478300563600005E-5</v>
      </c>
      <c r="W12" s="47">
        <v>5.2218117348999997E-5</v>
      </c>
      <c r="X12" s="47">
        <v>4.3201850150599999E-5</v>
      </c>
      <c r="Y12" s="47">
        <v>6.7995567279999995E-4</v>
      </c>
      <c r="Z12" s="47">
        <v>3.48501673508E-4</v>
      </c>
      <c r="AA12" s="47">
        <v>8.2849977803099996E-5</v>
      </c>
      <c r="AB12" s="47">
        <v>6.6989960953400002E-5</v>
      </c>
      <c r="AC12" s="47">
        <v>3.4424928404099998E-5</v>
      </c>
      <c r="AD12" s="47">
        <v>3.9938635887700002E-5</v>
      </c>
      <c r="AE12" s="47">
        <v>3.0586364280299998E-5</v>
      </c>
      <c r="AF12" s="47">
        <v>2.5629392904399999E-5</v>
      </c>
      <c r="AG12" s="47">
        <v>1.7470735298599999E-4</v>
      </c>
      <c r="AH12" s="47">
        <v>1.8159154054999999E-4</v>
      </c>
      <c r="AI12" s="47">
        <v>1.4386533976100001E-4</v>
      </c>
      <c r="AJ12" s="47">
        <v>6.9788370839299999E-5</v>
      </c>
      <c r="AK12" s="47">
        <v>4.1781130730799997E-5</v>
      </c>
      <c r="AL12" s="47">
        <v>2.4472046423900001E-5</v>
      </c>
      <c r="AM12" s="47">
        <v>1.19269146207E-5</v>
      </c>
      <c r="AN12" s="47">
        <v>3.4505441219799997E-5</v>
      </c>
      <c r="AO12" s="47">
        <v>1.00619938681E-5</v>
      </c>
      <c r="AP12" s="47">
        <v>5.3592434472099998E-6</v>
      </c>
      <c r="AQ12" s="47">
        <v>3.6036862967800002E-6</v>
      </c>
      <c r="AR12" s="47">
        <v>1.49934082698E-5</v>
      </c>
      <c r="AS12" s="47">
        <v>2.1764195232E-5</v>
      </c>
      <c r="AT12" s="47">
        <v>2.32746398503E-5</v>
      </c>
      <c r="AU12" s="47">
        <v>2.13908968831E-4</v>
      </c>
      <c r="AV12" s="47">
        <v>2.4128285512600001E-4</v>
      </c>
      <c r="AW12" s="47">
        <v>2.0268496995E-4</v>
      </c>
      <c r="AX12" s="47">
        <v>9.8380053871400006E-5</v>
      </c>
      <c r="AY12" s="47">
        <v>6.9224488324100001E-5</v>
      </c>
      <c r="AZ12" s="47">
        <v>5.0061568265799997E-5</v>
      </c>
      <c r="BA12" s="47">
        <v>-9.4188881523699997E-5</v>
      </c>
      <c r="BB12" s="47">
        <v>2.7071574644300001E-4</v>
      </c>
      <c r="BC12" s="47">
        <v>1.10436969134E-4</v>
      </c>
      <c r="BD12" s="47">
        <v>6.1362873103800006E-5</v>
      </c>
      <c r="BE12" s="47">
        <v>3.9197187200299998E-5</v>
      </c>
      <c r="BF12" s="47">
        <v>4.4421114248300003E-5</v>
      </c>
      <c r="BG12" s="47">
        <v>3.0307328186499999E-5</v>
      </c>
      <c r="BH12" s="47">
        <v>2.1383921363300001E-5</v>
      </c>
      <c r="BI12" s="47">
        <v>1.81231030789E-4</v>
      </c>
      <c r="BJ12" s="47">
        <v>2.2983755485299999E-4</v>
      </c>
      <c r="BK12" s="47">
        <v>1.9111895598799999E-4</v>
      </c>
      <c r="BL12" s="47">
        <v>9.55922423784E-5</v>
      </c>
      <c r="BM12" s="47">
        <v>6.1741490416200004E-5</v>
      </c>
      <c r="BN12" s="47">
        <v>4.3766900166800001E-5</v>
      </c>
    </row>
    <row r="13" spans="1:66">
      <c r="A13" s="47">
        <v>-6.2592033636800003E-6</v>
      </c>
      <c r="B13" s="47">
        <v>-2.92761977649E-6</v>
      </c>
      <c r="C13" s="47">
        <v>9.1591251859300001E-6</v>
      </c>
      <c r="D13" s="47">
        <v>8.4435883392200008E-6</v>
      </c>
      <c r="E13" s="47">
        <v>2.5136852958199999E-5</v>
      </c>
      <c r="F13" s="47">
        <v>1.4543313272900001E-4</v>
      </c>
      <c r="G13" s="47">
        <v>2.3249267931599999E-5</v>
      </c>
      <c r="H13" s="47">
        <v>3.06800890874E-6</v>
      </c>
      <c r="I13" s="47">
        <v>-5.5298779889E-6</v>
      </c>
      <c r="J13" s="47">
        <v>1.3210237263000001E-4</v>
      </c>
      <c r="K13" s="47">
        <v>8.7345052123999995E-4</v>
      </c>
      <c r="L13" s="47">
        <v>3.3425675018699998E-4</v>
      </c>
      <c r="M13" s="47">
        <v>5.2742609324599997E-5</v>
      </c>
      <c r="N13" s="47">
        <v>1.8505189818E-6</v>
      </c>
      <c r="O13" s="47">
        <v>5.8338463600499999E-6</v>
      </c>
      <c r="P13" s="47">
        <v>2.34432435155E-5</v>
      </c>
      <c r="Q13" s="47">
        <v>-4.0879189027100002E-5</v>
      </c>
      <c r="R13" s="47">
        <v>2.68923124746E-5</v>
      </c>
      <c r="S13" s="47">
        <v>-3.3419661027699998E-5</v>
      </c>
      <c r="T13" s="47">
        <v>-3.4212254000400001E-5</v>
      </c>
      <c r="U13" s="47">
        <v>-3.0500267504499999E-5</v>
      </c>
      <c r="V13" s="47">
        <v>-3.0652348637999998E-5</v>
      </c>
      <c r="W13" s="47">
        <v>-2.5221006285500001E-5</v>
      </c>
      <c r="X13" s="47">
        <v>-2.1250577212299999E-5</v>
      </c>
      <c r="Y13" s="47">
        <v>3.9904548285500004E-3</v>
      </c>
      <c r="Z13" s="47">
        <v>4.9385244968900004E-4</v>
      </c>
      <c r="AA13" s="47">
        <v>1.5724931041399999E-4</v>
      </c>
      <c r="AB13" s="47">
        <v>1.42695833361E-4</v>
      </c>
      <c r="AC13" s="47">
        <v>5.2517137194099999E-5</v>
      </c>
      <c r="AD13" s="47">
        <v>5.4728436860299998E-5</v>
      </c>
      <c r="AE13" s="47">
        <v>2.7351282065000002E-5</v>
      </c>
      <c r="AF13" s="47">
        <v>1.07580196572E-5</v>
      </c>
      <c r="AG13" s="47">
        <v>-1.7309284567499999E-5</v>
      </c>
      <c r="AH13" s="47">
        <v>-1.9318119138799998E-5</v>
      </c>
      <c r="AI13" s="47">
        <v>-1.73682338171E-5</v>
      </c>
      <c r="AJ13" s="47">
        <v>-2.3153035206500001E-5</v>
      </c>
      <c r="AK13" s="47">
        <v>-1.53672758918E-5</v>
      </c>
      <c r="AL13" s="47">
        <v>-2.0728983200699999E-5</v>
      </c>
      <c r="AM13" s="47">
        <v>-7.0371072917100005E-5</v>
      </c>
      <c r="AN13" s="47">
        <v>7.9017166313899995E-5</v>
      </c>
      <c r="AO13" s="47">
        <v>2.08823696019E-5</v>
      </c>
      <c r="AP13" s="47">
        <v>1.1555633009600001E-5</v>
      </c>
      <c r="AQ13" s="47">
        <v>1.10028207004E-5</v>
      </c>
      <c r="AR13" s="47">
        <v>1.8309683793899999E-5</v>
      </c>
      <c r="AS13" s="47">
        <v>8.6424598431899996E-6</v>
      </c>
      <c r="AT13" s="47">
        <v>-6.13839372817E-6</v>
      </c>
      <c r="AU13" s="47">
        <v>7.1274604192300001E-5</v>
      </c>
      <c r="AV13" s="47">
        <v>4.6769611478899998E-5</v>
      </c>
      <c r="AW13" s="47">
        <v>3.9163759230099997E-5</v>
      </c>
      <c r="AX13" s="47">
        <v>-1.1797663260100001E-5</v>
      </c>
      <c r="AY13" s="47">
        <v>-5.5938564335799996E-6</v>
      </c>
      <c r="AZ13" s="47">
        <v>-1.20002418486E-5</v>
      </c>
      <c r="BA13" s="47">
        <v>6.5750034609600005E-4</v>
      </c>
      <c r="BB13" s="47">
        <v>9.5298948740699997E-4</v>
      </c>
      <c r="BC13" s="47">
        <v>3.2373798018799999E-4</v>
      </c>
      <c r="BD13" s="47">
        <v>1.6427330679899999E-4</v>
      </c>
      <c r="BE13" s="47">
        <v>8.98787235217E-5</v>
      </c>
      <c r="BF13" s="47">
        <v>6.3914493369199998E-5</v>
      </c>
      <c r="BG13" s="47">
        <v>2.7242757306900002E-5</v>
      </c>
      <c r="BH13" s="47">
        <v>4.6023689561600001E-6</v>
      </c>
      <c r="BI13" s="47">
        <v>-2.7377736173199998E-5</v>
      </c>
      <c r="BJ13" s="47">
        <v>-4.4645180966099999E-5</v>
      </c>
      <c r="BK13" s="47">
        <v>-3.3466342550100001E-5</v>
      </c>
      <c r="BL13" s="47">
        <v>-3.5819828990399998E-5</v>
      </c>
      <c r="BM13" s="47">
        <v>-4.6176709277599998E-5</v>
      </c>
      <c r="BN13" s="47">
        <v>-5.00974907792E-5</v>
      </c>
    </row>
    <row r="14" spans="1:66">
      <c r="A14" s="47">
        <v>6.2442334978600003E-6</v>
      </c>
      <c r="B14" s="47">
        <v>-8.0545608504900001E-6</v>
      </c>
      <c r="C14" s="47">
        <v>1.7138456449100001E-6</v>
      </c>
      <c r="D14" s="47">
        <v>-1.5163239499099999E-5</v>
      </c>
      <c r="E14" s="47">
        <v>-7.7676259705200006E-5</v>
      </c>
      <c r="F14" s="47">
        <v>1.1152315300099999E-4</v>
      </c>
      <c r="G14" s="47">
        <v>8.7552748925200005E-5</v>
      </c>
      <c r="H14" s="47">
        <v>2.89321206174E-5</v>
      </c>
      <c r="I14" s="47">
        <v>2.1485904365299999E-5</v>
      </c>
      <c r="J14" s="47">
        <v>4.1567511625400002E-5</v>
      </c>
      <c r="K14" s="47">
        <v>3.3425675018699998E-4</v>
      </c>
      <c r="L14" s="47">
        <v>6.5143065530999999E-4</v>
      </c>
      <c r="M14" s="47">
        <v>2.11295458191E-4</v>
      </c>
      <c r="N14" s="47">
        <v>1.47937497422E-4</v>
      </c>
      <c r="O14" s="47">
        <v>1.2539832047100001E-4</v>
      </c>
      <c r="P14" s="47">
        <v>1.43663310825E-4</v>
      </c>
      <c r="Q14" s="47">
        <v>8.6440662021100001E-5</v>
      </c>
      <c r="R14" s="47">
        <v>-2.36792852754E-4</v>
      </c>
      <c r="S14" s="47">
        <v>-3.6802028731999999E-5</v>
      </c>
      <c r="T14" s="47">
        <v>-3.7161471829800002E-5</v>
      </c>
      <c r="U14" s="47">
        <v>-5.7673507336700003E-5</v>
      </c>
      <c r="V14" s="47">
        <v>-4.0964735841700001E-5</v>
      </c>
      <c r="W14" s="47">
        <v>-3.4247454341800001E-5</v>
      </c>
      <c r="X14" s="47">
        <v>-4.16346668325E-5</v>
      </c>
      <c r="Y14" s="47">
        <v>2.8517144683100001E-3</v>
      </c>
      <c r="Z14" s="47">
        <v>4.5370489688399999E-4</v>
      </c>
      <c r="AA14" s="47">
        <v>1.5936485370900001E-4</v>
      </c>
      <c r="AB14" s="47">
        <v>1.11134621211E-4</v>
      </c>
      <c r="AC14" s="47">
        <v>2.6219437734400001E-5</v>
      </c>
      <c r="AD14" s="47">
        <v>3.3849085322099999E-5</v>
      </c>
      <c r="AE14" s="47">
        <v>2.3671892152399998E-5</v>
      </c>
      <c r="AF14" s="47">
        <v>2.4788212305600001E-5</v>
      </c>
      <c r="AG14" s="47">
        <v>-1.04385574313E-4</v>
      </c>
      <c r="AH14" s="47">
        <v>-6.7317549654700003E-5</v>
      </c>
      <c r="AI14" s="47">
        <v>-4.8523026386000003E-5</v>
      </c>
      <c r="AJ14" s="47">
        <v>-2.3904952642699999E-5</v>
      </c>
      <c r="AK14" s="47">
        <v>-2.2046650443100001E-5</v>
      </c>
      <c r="AL14" s="47">
        <v>-2.1138422460700001E-5</v>
      </c>
      <c r="AM14" s="47">
        <v>-1.2652531822599999E-4</v>
      </c>
      <c r="AN14" s="47">
        <v>-8.5480109031399999E-5</v>
      </c>
      <c r="AO14" s="47">
        <v>-1.22767039981E-5</v>
      </c>
      <c r="AP14" s="47">
        <v>-5.3278275572900003E-6</v>
      </c>
      <c r="AQ14" s="47">
        <v>-6.1762375794700003E-6</v>
      </c>
      <c r="AR14" s="47">
        <v>2.2953237962800001E-6</v>
      </c>
      <c r="AS14" s="47">
        <v>8.2079249164099995E-6</v>
      </c>
      <c r="AT14" s="47">
        <v>1.27080442547E-5</v>
      </c>
      <c r="AU14" s="47">
        <v>-1.5295032949200001E-5</v>
      </c>
      <c r="AV14" s="47">
        <v>-1.43296059137E-5</v>
      </c>
      <c r="AW14" s="47">
        <v>-1.81730146194E-5</v>
      </c>
      <c r="AX14" s="47">
        <v>-2.6266367406500001E-5</v>
      </c>
      <c r="AY14" s="47">
        <v>-3.48283975024E-5</v>
      </c>
      <c r="AZ14" s="47">
        <v>-4.9960522492299998E-5</v>
      </c>
      <c r="BA14" s="47">
        <v>2.70791084268E-3</v>
      </c>
      <c r="BB14" s="47">
        <v>7.2936271918300005E-4</v>
      </c>
      <c r="BC14" s="47">
        <v>2.04556016913E-4</v>
      </c>
      <c r="BD14" s="47">
        <v>1.09690995085E-4</v>
      </c>
      <c r="BE14" s="47">
        <v>7.4487366002399998E-5</v>
      </c>
      <c r="BF14" s="47">
        <v>2.8438285179500001E-5</v>
      </c>
      <c r="BG14" s="47">
        <v>1.1990885975199999E-5</v>
      </c>
      <c r="BH14" s="47">
        <v>3.93987303179E-6</v>
      </c>
      <c r="BI14" s="47">
        <v>-2.2196023247499999E-4</v>
      </c>
      <c r="BJ14" s="47">
        <v>-2.1720325062899999E-4</v>
      </c>
      <c r="BK14" s="47">
        <v>-1.37874716307E-4</v>
      </c>
      <c r="BL14" s="47">
        <v>-8.3065408774000006E-5</v>
      </c>
      <c r="BM14" s="47">
        <v>-5.3458673842699997E-5</v>
      </c>
      <c r="BN14" s="47">
        <v>-5.7803628138199998E-5</v>
      </c>
    </row>
    <row r="15" spans="1:66">
      <c r="A15" s="47">
        <v>4.2958400010000002E-6</v>
      </c>
      <c r="B15" s="47">
        <v>-2.42546745224E-6</v>
      </c>
      <c r="C15" s="47">
        <v>3.1462423000199999E-6</v>
      </c>
      <c r="D15" s="47">
        <v>-9.3942837431900005E-6</v>
      </c>
      <c r="E15" s="47">
        <v>-5.6409585968700003E-5</v>
      </c>
      <c r="F15" s="47">
        <v>3.6036193398400002E-5</v>
      </c>
      <c r="G15" s="47">
        <v>1.5704539305599999E-5</v>
      </c>
      <c r="H15" s="47">
        <v>1.43717980845E-5</v>
      </c>
      <c r="I15" s="47">
        <v>8.9878136241699995E-6</v>
      </c>
      <c r="J15" s="47">
        <v>1.68404940769E-5</v>
      </c>
      <c r="K15" s="47">
        <v>5.2742609324599997E-5</v>
      </c>
      <c r="L15" s="47">
        <v>2.11295458191E-4</v>
      </c>
      <c r="M15" s="47">
        <v>2.1084220236500001E-4</v>
      </c>
      <c r="N15" s="47">
        <v>1.5323167495099999E-4</v>
      </c>
      <c r="O15" s="47">
        <v>1.2906097882699999E-4</v>
      </c>
      <c r="P15" s="47">
        <v>1.11810139837E-4</v>
      </c>
      <c r="Q15" s="47">
        <v>9.5002721280599994E-5</v>
      </c>
      <c r="R15" s="47">
        <v>-2.26969872293E-4</v>
      </c>
      <c r="S15" s="47">
        <v>1.5693328047200001E-5</v>
      </c>
      <c r="T15" s="47">
        <v>1.9084237461899999E-5</v>
      </c>
      <c r="U15" s="47">
        <v>1.50030570338E-5</v>
      </c>
      <c r="V15" s="47">
        <v>1.6182689192600002E-5</v>
      </c>
      <c r="W15" s="47">
        <v>1.00786613799E-5</v>
      </c>
      <c r="X15" s="47">
        <v>4.3463470466600002E-7</v>
      </c>
      <c r="Y15" s="47">
        <v>1.2861603466599999E-3</v>
      </c>
      <c r="Z15" s="47">
        <v>-1.8366751731899999E-4</v>
      </c>
      <c r="AA15" s="47">
        <v>-6.5179624701799995E-5</v>
      </c>
      <c r="AB15" s="47">
        <v>-7.9578808378700001E-5</v>
      </c>
      <c r="AC15" s="47">
        <v>-7.8712257784400002E-5</v>
      </c>
      <c r="AD15" s="47">
        <v>-5.33483216966E-5</v>
      </c>
      <c r="AE15" s="47">
        <v>-2.30305894803E-5</v>
      </c>
      <c r="AF15" s="47">
        <v>-6.9088115897499996E-6</v>
      </c>
      <c r="AG15" s="47">
        <v>6.95530074718E-6</v>
      </c>
      <c r="AH15" s="47">
        <v>2.3406946225400001E-5</v>
      </c>
      <c r="AI15" s="47">
        <v>1.7762504571799998E-5</v>
      </c>
      <c r="AJ15" s="47">
        <v>2.44118977718E-5</v>
      </c>
      <c r="AK15" s="47">
        <v>1.2289041217699999E-5</v>
      </c>
      <c r="AL15" s="47">
        <v>1.2536795127199999E-5</v>
      </c>
      <c r="AM15" s="47">
        <v>-6.8614076384800006E-5</v>
      </c>
      <c r="AN15" s="47">
        <v>-5.6276875985299998E-5</v>
      </c>
      <c r="AO15" s="47">
        <v>-1.26283924613E-5</v>
      </c>
      <c r="AP15" s="47">
        <v>-1.09053789015E-5</v>
      </c>
      <c r="AQ15" s="47">
        <v>-1.30932514182E-5</v>
      </c>
      <c r="AR15" s="47">
        <v>-2.0905238576799999E-5</v>
      </c>
      <c r="AS15" s="47">
        <v>-1.8897201477899999E-5</v>
      </c>
      <c r="AT15" s="47">
        <v>-7.5362883925099998E-6</v>
      </c>
      <c r="AU15" s="47">
        <v>3.6648875183199998E-5</v>
      </c>
      <c r="AV15" s="47">
        <v>5.42252246589E-5</v>
      </c>
      <c r="AW15" s="47">
        <v>2.4032696364499999E-5</v>
      </c>
      <c r="AX15" s="47">
        <v>1.60487485503E-6</v>
      </c>
      <c r="AY15" s="47">
        <v>-6.0511943183699998E-6</v>
      </c>
      <c r="AZ15" s="47">
        <v>-1.4518710333899999E-5</v>
      </c>
      <c r="BA15" s="47">
        <v>1.16610548242E-3</v>
      </c>
      <c r="BB15" s="47">
        <v>1.8145579236800001E-4</v>
      </c>
      <c r="BC15" s="47">
        <v>5.3454687965500003E-6</v>
      </c>
      <c r="BD15" s="47">
        <v>-3.6737314647099998E-5</v>
      </c>
      <c r="BE15" s="47">
        <v>-1.6581304670200001E-5</v>
      </c>
      <c r="BF15" s="47">
        <v>-4.44823462509E-5</v>
      </c>
      <c r="BG15" s="47">
        <v>-1.9116489302599999E-5</v>
      </c>
      <c r="BH15" s="47">
        <v>-7.1017316993599996E-7</v>
      </c>
      <c r="BI15" s="47">
        <v>-2.78758805857E-5</v>
      </c>
      <c r="BJ15" s="47">
        <v>-1.5551355347500002E-5</v>
      </c>
      <c r="BK15" s="47">
        <v>-2.65653632275E-6</v>
      </c>
      <c r="BL15" s="47">
        <v>9.5113659884199996E-6</v>
      </c>
      <c r="BM15" s="47">
        <v>1.3456181535299999E-5</v>
      </c>
      <c r="BN15" s="47">
        <v>1.5212028094999999E-5</v>
      </c>
    </row>
    <row r="16" spans="1:66">
      <c r="A16" s="47">
        <v>2.8862018517400002E-6</v>
      </c>
      <c r="B16" s="47">
        <v>-3.6909449510799999E-6</v>
      </c>
      <c r="C16" s="47">
        <v>2.8416600020699999E-6</v>
      </c>
      <c r="D16" s="47">
        <v>-1.01173990919E-5</v>
      </c>
      <c r="E16" s="47">
        <v>-5.3685223044300001E-5</v>
      </c>
      <c r="F16" s="47">
        <v>1.9276863587899999E-5</v>
      </c>
      <c r="G16" s="47">
        <v>2.0811858945600001E-5</v>
      </c>
      <c r="H16" s="47">
        <v>1.57310852785E-5</v>
      </c>
      <c r="I16" s="47">
        <v>1.1687074527299999E-5</v>
      </c>
      <c r="J16" s="47">
        <v>1.4954703096400001E-5</v>
      </c>
      <c r="K16" s="47">
        <v>1.8505189818E-6</v>
      </c>
      <c r="L16" s="47">
        <v>1.47937497422E-4</v>
      </c>
      <c r="M16" s="47">
        <v>1.5323167495099999E-4</v>
      </c>
      <c r="N16" s="47">
        <v>1.28949875752E-4</v>
      </c>
      <c r="O16" s="47">
        <v>1.07075815375E-4</v>
      </c>
      <c r="P16" s="47">
        <v>9.1178821483300004E-5</v>
      </c>
      <c r="Q16" s="47">
        <v>7.97323070084E-5</v>
      </c>
      <c r="R16" s="47">
        <v>-1.7123173550099999E-4</v>
      </c>
      <c r="S16" s="47">
        <v>2.1177100270799998E-5</v>
      </c>
      <c r="T16" s="47">
        <v>2.7334700647499999E-5</v>
      </c>
      <c r="U16" s="47">
        <v>2.6766358221100001E-5</v>
      </c>
      <c r="V16" s="47">
        <v>2.55744756585E-5</v>
      </c>
      <c r="W16" s="47">
        <v>1.71259026502E-5</v>
      </c>
      <c r="X16" s="47">
        <v>8.8325635552099998E-6</v>
      </c>
      <c r="Y16" s="47">
        <v>1.42102335576E-3</v>
      </c>
      <c r="Z16" s="47">
        <v>6.3864726988399996E-6</v>
      </c>
      <c r="AA16" s="47">
        <v>-3.7780031014700002E-6</v>
      </c>
      <c r="AB16" s="47">
        <v>-2.13815095437E-5</v>
      </c>
      <c r="AC16" s="47">
        <v>-3.2988580288500001E-5</v>
      </c>
      <c r="AD16" s="47">
        <v>-2.6458069610900001E-5</v>
      </c>
      <c r="AE16" s="47">
        <v>-8.1840217933100002E-6</v>
      </c>
      <c r="AF16" s="47">
        <v>1.5330775747099999E-6</v>
      </c>
      <c r="AG16" s="47">
        <v>4.3218311162099998E-5</v>
      </c>
      <c r="AH16" s="47">
        <v>6.1396588259199998E-5</v>
      </c>
      <c r="AI16" s="47">
        <v>5.2588529947299997E-5</v>
      </c>
      <c r="AJ16" s="47">
        <v>4.3055738102600002E-5</v>
      </c>
      <c r="AK16" s="47">
        <v>2.7636304058100002E-5</v>
      </c>
      <c r="AL16" s="47">
        <v>2.48322622098E-5</v>
      </c>
      <c r="AM16" s="47">
        <v>-6.3571081251399995E-5</v>
      </c>
      <c r="AN16" s="47">
        <v>-5.6967989994400001E-5</v>
      </c>
      <c r="AO16" s="47">
        <v>-1.1602960752099999E-5</v>
      </c>
      <c r="AP16" s="47">
        <v>-7.8215344416800001E-6</v>
      </c>
      <c r="AQ16" s="47">
        <v>-8.1290042528599995E-6</v>
      </c>
      <c r="AR16" s="47">
        <v>-1.2300068432599999E-5</v>
      </c>
      <c r="AS16" s="47">
        <v>-8.6480016971700001E-6</v>
      </c>
      <c r="AT16" s="47">
        <v>-4.6206381390400003E-8</v>
      </c>
      <c r="AU16" s="47">
        <v>5.9859546688200003E-5</v>
      </c>
      <c r="AV16" s="47">
        <v>8.2030207027699995E-5</v>
      </c>
      <c r="AW16" s="47">
        <v>5.37924277556E-5</v>
      </c>
      <c r="AX16" s="47">
        <v>2.6899047294800002E-5</v>
      </c>
      <c r="AY16" s="47">
        <v>1.38267827475E-5</v>
      </c>
      <c r="AZ16" s="47">
        <v>3.6164911684E-6</v>
      </c>
      <c r="BA16" s="47">
        <v>8.7883503864499997E-4</v>
      </c>
      <c r="BB16" s="47">
        <v>1.74911993098E-4</v>
      </c>
      <c r="BC16" s="47">
        <v>2.23904366683E-5</v>
      </c>
      <c r="BD16" s="47">
        <v>-5.9844183756699998E-6</v>
      </c>
      <c r="BE16" s="47">
        <v>3.6027378204299999E-6</v>
      </c>
      <c r="BF16" s="47">
        <v>-1.7299760473200001E-5</v>
      </c>
      <c r="BG16" s="47">
        <v>-3.50962638892E-6</v>
      </c>
      <c r="BH16" s="47">
        <v>6.95668291742E-6</v>
      </c>
      <c r="BI16" s="47">
        <v>-6.2576457683099997E-6</v>
      </c>
      <c r="BJ16" s="47">
        <v>8.9102096373299998E-6</v>
      </c>
      <c r="BK16" s="47">
        <v>2.0373137175200001E-5</v>
      </c>
      <c r="BL16" s="47">
        <v>2.0837420525300001E-5</v>
      </c>
      <c r="BM16" s="47">
        <v>2.04112930544E-5</v>
      </c>
      <c r="BN16" s="47">
        <v>2.02760368966E-5</v>
      </c>
    </row>
    <row r="17" spans="1:66">
      <c r="A17" s="47">
        <v>-5.8880131490500005E-7</v>
      </c>
      <c r="B17" s="47">
        <v>-4.1195103303700002E-6</v>
      </c>
      <c r="C17" s="47">
        <v>1.7377641917100001E-6</v>
      </c>
      <c r="D17" s="47">
        <v>-1.0018184164899999E-5</v>
      </c>
      <c r="E17" s="47">
        <v>-4.5614493450900001E-5</v>
      </c>
      <c r="F17" s="47">
        <v>2.3609840531200001E-5</v>
      </c>
      <c r="G17" s="47">
        <v>2.6485707829199999E-5</v>
      </c>
      <c r="H17" s="47">
        <v>6.8287083070699998E-6</v>
      </c>
      <c r="I17" s="47">
        <v>3.8206471350799996E-6</v>
      </c>
      <c r="J17" s="47">
        <v>1.0432929076899999E-5</v>
      </c>
      <c r="K17" s="47">
        <v>5.8338463600499999E-6</v>
      </c>
      <c r="L17" s="47">
        <v>1.2539832047100001E-4</v>
      </c>
      <c r="M17" s="47">
        <v>1.2906097882699999E-4</v>
      </c>
      <c r="N17" s="47">
        <v>1.07075815375E-4</v>
      </c>
      <c r="O17" s="47">
        <v>1.01446237015E-4</v>
      </c>
      <c r="P17" s="47">
        <v>8.7420040849900001E-5</v>
      </c>
      <c r="Q17" s="47">
        <v>7.2681478692599995E-5</v>
      </c>
      <c r="R17" s="47">
        <v>-1.21627028781E-4</v>
      </c>
      <c r="S17" s="47">
        <v>1.36881856961E-5</v>
      </c>
      <c r="T17" s="47">
        <v>1.4844136295499999E-5</v>
      </c>
      <c r="U17" s="47">
        <v>1.2789990212200001E-5</v>
      </c>
      <c r="V17" s="47">
        <v>1.7605138590499999E-5</v>
      </c>
      <c r="W17" s="47">
        <v>1.2023343082700001E-5</v>
      </c>
      <c r="X17" s="47">
        <v>5.2681585245400001E-6</v>
      </c>
      <c r="Y17" s="47">
        <v>1.0346073607500001E-3</v>
      </c>
      <c r="Z17" s="47">
        <v>6.1201347350199993E-5</v>
      </c>
      <c r="AA17" s="47">
        <v>1.09157749568E-5</v>
      </c>
      <c r="AB17" s="47">
        <v>-1.8172406256899999E-5</v>
      </c>
      <c r="AC17" s="47">
        <v>-2.7667214012199998E-5</v>
      </c>
      <c r="AD17" s="47">
        <v>-2.0000123833999998E-5</v>
      </c>
      <c r="AE17" s="47">
        <v>-6.7695889860699997E-6</v>
      </c>
      <c r="AF17" s="47">
        <v>3.80430016873E-6</v>
      </c>
      <c r="AG17" s="47">
        <v>3.71865208041E-5</v>
      </c>
      <c r="AH17" s="47">
        <v>5.0848306013E-5</v>
      </c>
      <c r="AI17" s="47">
        <v>3.4646704006399997E-5</v>
      </c>
      <c r="AJ17" s="47">
        <v>2.6560324988900001E-5</v>
      </c>
      <c r="AK17" s="47">
        <v>1.7251363438899999E-5</v>
      </c>
      <c r="AL17" s="47">
        <v>1.38251516055E-5</v>
      </c>
      <c r="AM17" s="47">
        <v>-4.8017372514699999E-5</v>
      </c>
      <c r="AN17" s="47">
        <v>-4.85179138119E-5</v>
      </c>
      <c r="AO17" s="47">
        <v>-9.30959833736E-6</v>
      </c>
      <c r="AP17" s="47">
        <v>-6.6404104536199998E-6</v>
      </c>
      <c r="AQ17" s="47">
        <v>-7.6362395544199995E-6</v>
      </c>
      <c r="AR17" s="47">
        <v>-1.01537597277E-5</v>
      </c>
      <c r="AS17" s="47">
        <v>-7.5034737712099999E-6</v>
      </c>
      <c r="AT17" s="47">
        <v>-8.2883104489899997E-7</v>
      </c>
      <c r="AU17" s="47">
        <v>4.1162826689200002E-5</v>
      </c>
      <c r="AV17" s="47">
        <v>5.5671131577499997E-5</v>
      </c>
      <c r="AW17" s="47">
        <v>3.01078339309E-5</v>
      </c>
      <c r="AX17" s="47">
        <v>1.32927876485E-5</v>
      </c>
      <c r="AY17" s="47">
        <v>3.6005409045900002E-6</v>
      </c>
      <c r="AZ17" s="47">
        <v>-4.0443136505300001E-6</v>
      </c>
      <c r="BA17" s="47">
        <v>5.5023886806100002E-4</v>
      </c>
      <c r="BB17" s="47">
        <v>1.07009422327E-4</v>
      </c>
      <c r="BC17" s="47">
        <v>1.31000103148E-5</v>
      </c>
      <c r="BD17" s="47">
        <v>-1.0309690695699999E-5</v>
      </c>
      <c r="BE17" s="47">
        <v>-4.0729809763500002E-6</v>
      </c>
      <c r="BF17" s="47">
        <v>-1.54390106235E-5</v>
      </c>
      <c r="BG17" s="47">
        <v>-5.0059317106799996E-6</v>
      </c>
      <c r="BH17" s="47">
        <v>2.8532924806600001E-6</v>
      </c>
      <c r="BI17" s="47">
        <v>-1.25633043786E-5</v>
      </c>
      <c r="BJ17" s="47">
        <v>-1.7251184661200001E-6</v>
      </c>
      <c r="BK17" s="47">
        <v>-1.1039710462000001E-6</v>
      </c>
      <c r="BL17" s="47">
        <v>1.0411003731100001E-5</v>
      </c>
      <c r="BM17" s="47">
        <v>1.39068544179E-5</v>
      </c>
      <c r="BN17" s="47">
        <v>1.5514910248400001E-5</v>
      </c>
    </row>
    <row r="18" spans="1:66">
      <c r="A18" s="47">
        <v>3.4503050675699999E-6</v>
      </c>
      <c r="B18" s="47">
        <v>-4.8570829595000003E-6</v>
      </c>
      <c r="C18" s="47">
        <v>3.3028927540900002E-6</v>
      </c>
      <c r="D18" s="47">
        <v>-5.5521625240799997E-6</v>
      </c>
      <c r="E18" s="47">
        <v>-3.9591003367999999E-5</v>
      </c>
      <c r="F18" s="47">
        <v>3.2787981719200002E-5</v>
      </c>
      <c r="G18" s="47">
        <v>2.2305668304199999E-5</v>
      </c>
      <c r="H18" s="47">
        <v>5.9485341425299998E-6</v>
      </c>
      <c r="I18" s="47">
        <v>3.7187546315499998E-6</v>
      </c>
      <c r="J18" s="47">
        <v>1.06417966522E-5</v>
      </c>
      <c r="K18" s="47">
        <v>2.34432435155E-5</v>
      </c>
      <c r="L18" s="47">
        <v>1.43663310825E-4</v>
      </c>
      <c r="M18" s="47">
        <v>1.11810139837E-4</v>
      </c>
      <c r="N18" s="47">
        <v>9.1178821483300004E-5</v>
      </c>
      <c r="O18" s="47">
        <v>8.7420040849900001E-5</v>
      </c>
      <c r="P18" s="47">
        <v>9.6134969499400003E-5</v>
      </c>
      <c r="Q18" s="47">
        <v>7.0154109657500006E-5</v>
      </c>
      <c r="R18" s="47">
        <v>-6.0469111894099997E-5</v>
      </c>
      <c r="S18" s="47">
        <v>1.8797439906199998E-5</v>
      </c>
      <c r="T18" s="47">
        <v>1.7601953378300002E-5</v>
      </c>
      <c r="U18" s="47">
        <v>8.2947812643000008E-6</v>
      </c>
      <c r="V18" s="47">
        <v>1.3967437358000001E-5</v>
      </c>
      <c r="W18" s="47">
        <v>9.7539405747499993E-6</v>
      </c>
      <c r="X18" s="47">
        <v>4.5739153778100004E-6</v>
      </c>
      <c r="Y18" s="47">
        <v>1.6246196479800001E-3</v>
      </c>
      <c r="Z18" s="47">
        <v>1.8383791895299999E-4</v>
      </c>
      <c r="AA18" s="47">
        <v>5.2405024660299997E-5</v>
      </c>
      <c r="AB18" s="47">
        <v>2.6011580253800001E-5</v>
      </c>
      <c r="AC18" s="47">
        <v>5.5177632274799996E-6</v>
      </c>
      <c r="AD18" s="47">
        <v>9.8553364088000009E-7</v>
      </c>
      <c r="AE18" s="47">
        <v>5.2563302916799996E-6</v>
      </c>
      <c r="AF18" s="47">
        <v>1.0319282428700001E-5</v>
      </c>
      <c r="AG18" s="47">
        <v>3.65590744092E-5</v>
      </c>
      <c r="AH18" s="47">
        <v>4.4185402879300001E-5</v>
      </c>
      <c r="AI18" s="47">
        <v>2.3317017374599999E-5</v>
      </c>
      <c r="AJ18" s="47">
        <v>7.7209052484000008E-6</v>
      </c>
      <c r="AK18" s="47">
        <v>1.0792791165100001E-6</v>
      </c>
      <c r="AL18" s="47">
        <v>-2.19229481116E-6</v>
      </c>
      <c r="AM18" s="47">
        <v>-6.9500385301000004E-5</v>
      </c>
      <c r="AN18" s="47">
        <v>-4.4449436662199997E-5</v>
      </c>
      <c r="AO18" s="47">
        <v>-7.2339200142300002E-6</v>
      </c>
      <c r="AP18" s="47">
        <v>-3.9742589763599996E-6</v>
      </c>
      <c r="AQ18" s="47">
        <v>-3.7872708068600001E-6</v>
      </c>
      <c r="AR18" s="47">
        <v>-3.6578093398699999E-6</v>
      </c>
      <c r="AS18" s="47">
        <v>-8.8306404248500002E-7</v>
      </c>
      <c r="AT18" s="47">
        <v>3.5555063167800002E-6</v>
      </c>
      <c r="AU18" s="47">
        <v>2.79669215425E-5</v>
      </c>
      <c r="AV18" s="47">
        <v>3.6761460134800002E-5</v>
      </c>
      <c r="AW18" s="47">
        <v>1.35644355398E-5</v>
      </c>
      <c r="AX18" s="47">
        <v>-6.1281027464600003E-7</v>
      </c>
      <c r="AY18" s="47">
        <v>-8.6230945171900005E-6</v>
      </c>
      <c r="AZ18" s="47">
        <v>-1.5137931251099999E-5</v>
      </c>
      <c r="BA18" s="47">
        <v>6.0011013579999999E-4</v>
      </c>
      <c r="BB18" s="47">
        <v>1.8244260893400001E-4</v>
      </c>
      <c r="BC18" s="47">
        <v>4.18837219112E-5</v>
      </c>
      <c r="BD18" s="47">
        <v>2.2738579400599999E-5</v>
      </c>
      <c r="BE18" s="47">
        <v>1.57531911133E-5</v>
      </c>
      <c r="BF18" s="47">
        <v>1.21159240744E-6</v>
      </c>
      <c r="BG18" s="47">
        <v>5.5736368723099999E-6</v>
      </c>
      <c r="BH18" s="47">
        <v>9.5091315597400001E-6</v>
      </c>
      <c r="BI18" s="47">
        <v>-9.33284350637E-6</v>
      </c>
      <c r="BJ18" s="47">
        <v>-3.4297245863800002E-6</v>
      </c>
      <c r="BK18" s="47">
        <v>-3.2464985418899998E-6</v>
      </c>
      <c r="BL18" s="47">
        <v>6.9387191533400004E-6</v>
      </c>
      <c r="BM18" s="47">
        <v>9.3172741770499999E-6</v>
      </c>
      <c r="BN18" s="47">
        <v>1.0701769649599999E-5</v>
      </c>
    </row>
    <row r="19" spans="1:66">
      <c r="A19" s="47">
        <v>3.1234639234099999E-6</v>
      </c>
      <c r="B19" s="47">
        <v>-4.1024569578900001E-6</v>
      </c>
      <c r="C19" s="47">
        <v>-1.6944187864699999E-8</v>
      </c>
      <c r="D19" s="47">
        <v>-6.8227213852800002E-6</v>
      </c>
      <c r="E19" s="47">
        <v>-3.6008724128999999E-5</v>
      </c>
      <c r="F19" s="47">
        <v>2.50698198749E-6</v>
      </c>
      <c r="G19" s="47">
        <v>1.6188840132500001E-5</v>
      </c>
      <c r="H19" s="47">
        <v>6.1078562980200002E-6</v>
      </c>
      <c r="I19" s="47">
        <v>3.9926141595999999E-6</v>
      </c>
      <c r="J19" s="47">
        <v>-3.6737368143700001E-6</v>
      </c>
      <c r="K19" s="47">
        <v>-4.0879189027100002E-5</v>
      </c>
      <c r="L19" s="47">
        <v>8.6440662021100001E-5</v>
      </c>
      <c r="M19" s="47">
        <v>9.5002721280599994E-5</v>
      </c>
      <c r="N19" s="47">
        <v>7.97323070084E-5</v>
      </c>
      <c r="O19" s="47">
        <v>7.2681478692599995E-5</v>
      </c>
      <c r="P19" s="47">
        <v>7.0154109657500006E-5</v>
      </c>
      <c r="Q19" s="47">
        <v>6.7958963342700006E-5</v>
      </c>
      <c r="R19" s="47">
        <v>-8.7906825886799997E-5</v>
      </c>
      <c r="S19" s="47">
        <v>1.34820598375E-5</v>
      </c>
      <c r="T19" s="47">
        <v>9.6630935748700007E-6</v>
      </c>
      <c r="U19" s="47">
        <v>-9.9177599480600006E-7</v>
      </c>
      <c r="V19" s="47">
        <v>1.2457552669199999E-6</v>
      </c>
      <c r="W19" s="47">
        <v>-1.91119108676E-6</v>
      </c>
      <c r="X19" s="47">
        <v>-6.4183470152700002E-6</v>
      </c>
      <c r="Y19" s="47">
        <v>5.9378600145799996E-4</v>
      </c>
      <c r="Z19" s="47">
        <v>3.9600495555999997E-5</v>
      </c>
      <c r="AA19" s="47">
        <v>1.61290785824E-6</v>
      </c>
      <c r="AB19" s="47">
        <v>-2.29971836854E-5</v>
      </c>
      <c r="AC19" s="47">
        <v>-1.8635545411400001E-5</v>
      </c>
      <c r="AD19" s="47">
        <v>-1.63318060337E-5</v>
      </c>
      <c r="AE19" s="47">
        <v>-6.7117707885100004E-6</v>
      </c>
      <c r="AF19" s="47">
        <v>2.7613265415000002E-7</v>
      </c>
      <c r="AG19" s="47">
        <v>7.6419160967299997E-6</v>
      </c>
      <c r="AH19" s="47">
        <v>1.1785368493700001E-5</v>
      </c>
      <c r="AI19" s="47">
        <v>3.88062563875E-6</v>
      </c>
      <c r="AJ19" s="47">
        <v>2.4580189085199999E-6</v>
      </c>
      <c r="AK19" s="47">
        <v>-2.6727210761300001E-6</v>
      </c>
      <c r="AL19" s="47">
        <v>-2.3779888913900002E-6</v>
      </c>
      <c r="AM19" s="47">
        <v>-3.5919641620500002E-5</v>
      </c>
      <c r="AN19" s="47">
        <v>-4.22841774714E-5</v>
      </c>
      <c r="AO19" s="47">
        <v>-8.4810954476699998E-6</v>
      </c>
      <c r="AP19" s="47">
        <v>-5.55927997474E-6</v>
      </c>
      <c r="AQ19" s="47">
        <v>-6.27626418184E-6</v>
      </c>
      <c r="AR19" s="47">
        <v>-8.8021479274599997E-6</v>
      </c>
      <c r="AS19" s="47">
        <v>-6.5996407994899998E-6</v>
      </c>
      <c r="AT19" s="47">
        <v>-1.0492186569700001E-6</v>
      </c>
      <c r="AU19" s="47">
        <v>4.5979139706799999E-6</v>
      </c>
      <c r="AV19" s="47">
        <v>7.7121571240600008E-6</v>
      </c>
      <c r="AW19" s="47">
        <v>-9.7316105332799996E-6</v>
      </c>
      <c r="AX19" s="47">
        <v>-1.3554660681399999E-5</v>
      </c>
      <c r="AY19" s="47">
        <v>-1.7812361256399999E-5</v>
      </c>
      <c r="AZ19" s="47">
        <v>-2.0259836362599999E-5</v>
      </c>
      <c r="BA19" s="47">
        <v>3.81694582213E-4</v>
      </c>
      <c r="BB19" s="47">
        <v>3.6524412452399997E-5</v>
      </c>
      <c r="BC19" s="47">
        <v>-1.32628712174E-5</v>
      </c>
      <c r="BD19" s="47">
        <v>-1.65871402609E-5</v>
      </c>
      <c r="BE19" s="47">
        <v>-6.0234712078500004E-6</v>
      </c>
      <c r="BF19" s="47">
        <v>-1.50755809662E-5</v>
      </c>
      <c r="BG19" s="47">
        <v>-5.6857856782900001E-6</v>
      </c>
      <c r="BH19" s="47">
        <v>1.1826888443899999E-6</v>
      </c>
      <c r="BI19" s="47">
        <v>-2.3770433924199999E-5</v>
      </c>
      <c r="BJ19" s="47">
        <v>-2.2701459950500001E-5</v>
      </c>
      <c r="BK19" s="47">
        <v>-1.5685842951799999E-5</v>
      </c>
      <c r="BL19" s="47">
        <v>-1.3755808862900001E-6</v>
      </c>
      <c r="BM19" s="47">
        <v>2.8210279727300001E-6</v>
      </c>
      <c r="BN19" s="47">
        <v>4.9923876319100001E-6</v>
      </c>
    </row>
    <row r="20" spans="1:66">
      <c r="A20" s="47">
        <v>-3.6073661218699997E-5</v>
      </c>
      <c r="B20" s="47">
        <v>-3.2752571494799998E-5</v>
      </c>
      <c r="C20" s="47">
        <v>-3.7474982646199999E-5</v>
      </c>
      <c r="D20" s="47">
        <v>-2.62381141733E-5</v>
      </c>
      <c r="E20" s="47">
        <v>-3.9531668216299999E-5</v>
      </c>
      <c r="F20" s="47">
        <v>2.1048366549599999E-7</v>
      </c>
      <c r="G20" s="47">
        <v>-1.1441875242899999E-4</v>
      </c>
      <c r="H20" s="47">
        <v>-3.8344318827800001E-5</v>
      </c>
      <c r="I20" s="47">
        <v>-3.13854590466E-5</v>
      </c>
      <c r="J20" s="47">
        <v>2.4480412608899998E-6</v>
      </c>
      <c r="K20" s="47">
        <v>2.68923124746E-5</v>
      </c>
      <c r="L20" s="47">
        <v>-2.36792852754E-4</v>
      </c>
      <c r="M20" s="47">
        <v>-2.26969872293E-4</v>
      </c>
      <c r="N20" s="47">
        <v>-1.7123173550099999E-4</v>
      </c>
      <c r="O20" s="47">
        <v>-1.21627028781E-4</v>
      </c>
      <c r="P20" s="47">
        <v>-6.0469111894099997E-5</v>
      </c>
      <c r="Q20" s="47">
        <v>-8.7906825886799997E-5</v>
      </c>
      <c r="R20" s="47">
        <v>8.9719749886800005E-4</v>
      </c>
      <c r="S20" s="47">
        <v>2.1281014325899999E-5</v>
      </c>
      <c r="T20" s="47">
        <v>5.2420840216799997E-7</v>
      </c>
      <c r="U20" s="47">
        <v>-1.03102853506E-6</v>
      </c>
      <c r="V20" s="47">
        <v>-2.38264065667E-6</v>
      </c>
      <c r="W20" s="47">
        <v>2.2971814593599999E-5</v>
      </c>
      <c r="X20" s="47">
        <v>4.1656649734199998E-5</v>
      </c>
      <c r="Y20" s="47">
        <v>-1.4767834188100001E-3</v>
      </c>
      <c r="Z20" s="47">
        <v>4.7372446132499998E-4</v>
      </c>
      <c r="AA20" s="47">
        <v>1.8006536133E-4</v>
      </c>
      <c r="AB20" s="47">
        <v>1.2057125314999999E-4</v>
      </c>
      <c r="AC20" s="47">
        <v>1.5892824039699999E-4</v>
      </c>
      <c r="AD20" s="47">
        <v>1.1663124987699999E-4</v>
      </c>
      <c r="AE20" s="47">
        <v>7.6735511984899995E-5</v>
      </c>
      <c r="AF20" s="47">
        <v>3.9065469299499997E-5</v>
      </c>
      <c r="AG20" s="47">
        <v>5.9705720285600002E-5</v>
      </c>
      <c r="AH20" s="47">
        <v>4.5214826705900003E-5</v>
      </c>
      <c r="AI20" s="47">
        <v>-1.6561597518700001E-5</v>
      </c>
      <c r="AJ20" s="47">
        <v>-9.3671610965900001E-5</v>
      </c>
      <c r="AK20" s="47">
        <v>-6.6864355959099994E-5</v>
      </c>
      <c r="AL20" s="47">
        <v>-7.1987434126700002E-5</v>
      </c>
      <c r="AM20" s="47">
        <v>-4.8528479967199998E-5</v>
      </c>
      <c r="AN20" s="47">
        <v>1.00189385523E-4</v>
      </c>
      <c r="AO20" s="47">
        <v>2.9291348697799999E-5</v>
      </c>
      <c r="AP20" s="47">
        <v>1.66123273069E-5</v>
      </c>
      <c r="AQ20" s="47">
        <v>2.46020504631E-5</v>
      </c>
      <c r="AR20" s="47">
        <v>3.5112693006000003E-5</v>
      </c>
      <c r="AS20" s="47">
        <v>2.9602022715099999E-5</v>
      </c>
      <c r="AT20" s="47">
        <v>1.15828044712E-5</v>
      </c>
      <c r="AU20" s="47">
        <v>-9.0497128183099996E-5</v>
      </c>
      <c r="AV20" s="47">
        <v>-9.0968894336900002E-5</v>
      </c>
      <c r="AW20" s="47">
        <v>-3.84010935493E-5</v>
      </c>
      <c r="AX20" s="47">
        <v>-2.8797031250800002E-5</v>
      </c>
      <c r="AY20" s="47">
        <v>-1.5873541006100001E-5</v>
      </c>
      <c r="AZ20" s="47">
        <v>-1.17190636369E-5</v>
      </c>
      <c r="BA20" s="47">
        <v>2.21581014675E-4</v>
      </c>
      <c r="BB20" s="47">
        <v>1.8128719796000001E-4</v>
      </c>
      <c r="BC20" s="47">
        <v>1.43959572924E-4</v>
      </c>
      <c r="BD20" s="47">
        <v>7.3949572311799995E-5</v>
      </c>
      <c r="BE20" s="47">
        <v>3.5314782765300001E-5</v>
      </c>
      <c r="BF20" s="47">
        <v>8.9385579831899995E-5</v>
      </c>
      <c r="BG20" s="47">
        <v>4.2519457937699998E-5</v>
      </c>
      <c r="BH20" s="47">
        <v>9.9650087426199994E-6</v>
      </c>
      <c r="BI20" s="47">
        <v>1.4425224538300001E-4</v>
      </c>
      <c r="BJ20" s="47">
        <v>5.4421342840500001E-5</v>
      </c>
      <c r="BK20" s="47">
        <v>6.1743599362800004E-6</v>
      </c>
      <c r="BL20" s="47">
        <v>-1.17149807327E-5</v>
      </c>
      <c r="BM20" s="47">
        <v>-9.4545084916000003E-6</v>
      </c>
      <c r="BN20" s="47">
        <v>-3.3348505058000001E-6</v>
      </c>
    </row>
    <row r="21" spans="1:66">
      <c r="A21" s="47">
        <v>3.1557002963599997E-5</v>
      </c>
      <c r="B21" s="47">
        <v>2.2070775235999998E-5</v>
      </c>
      <c r="C21" s="47">
        <v>3.5574784104200001E-5</v>
      </c>
      <c r="D21" s="47">
        <v>4.2994749029299999E-5</v>
      </c>
      <c r="E21" s="47">
        <v>4.0278447236599998E-5</v>
      </c>
      <c r="F21" s="47">
        <v>-1.2744921703100001E-6</v>
      </c>
      <c r="G21" s="47">
        <v>8.9813077645600002E-8</v>
      </c>
      <c r="H21" s="47">
        <v>1.14245685886E-5</v>
      </c>
      <c r="I21" s="47">
        <v>1.2394736285300001E-5</v>
      </c>
      <c r="J21" s="47">
        <v>6.2113662246700003E-5</v>
      </c>
      <c r="K21" s="47">
        <v>-3.3419661027699998E-5</v>
      </c>
      <c r="L21" s="47">
        <v>-3.6802028731999999E-5</v>
      </c>
      <c r="M21" s="47">
        <v>1.5693328047200001E-5</v>
      </c>
      <c r="N21" s="47">
        <v>2.1177100270799998E-5</v>
      </c>
      <c r="O21" s="47">
        <v>1.36881856961E-5</v>
      </c>
      <c r="P21" s="47">
        <v>1.8797439906199998E-5</v>
      </c>
      <c r="Q21" s="47">
        <v>1.34820598375E-5</v>
      </c>
      <c r="R21" s="47">
        <v>2.1281014325899999E-5</v>
      </c>
      <c r="S21" s="47">
        <v>1.1928711004500001E-4</v>
      </c>
      <c r="T21" s="47">
        <v>1.4064165584600001E-4</v>
      </c>
      <c r="U21" s="47">
        <v>1.6226574383199999E-4</v>
      </c>
      <c r="V21" s="47">
        <v>1.26726734286E-4</v>
      </c>
      <c r="W21" s="47">
        <v>1.0283280946E-4</v>
      </c>
      <c r="X21" s="47">
        <v>9.0942732154500002E-5</v>
      </c>
      <c r="Y21" s="47">
        <v>6.0403909783400002E-4</v>
      </c>
      <c r="Z21" s="47">
        <v>2.29534860397E-4</v>
      </c>
      <c r="AA21" s="47">
        <v>3.1569925381799998E-5</v>
      </c>
      <c r="AB21" s="47">
        <v>5.4634581394E-5</v>
      </c>
      <c r="AC21" s="47">
        <v>3.6077491510100002E-5</v>
      </c>
      <c r="AD21" s="47">
        <v>3.6054566548499999E-5</v>
      </c>
      <c r="AE21" s="47">
        <v>2.8441218987499999E-5</v>
      </c>
      <c r="AF21" s="47">
        <v>2.60775253111E-5</v>
      </c>
      <c r="AG21" s="47">
        <v>2.0394331688700001E-4</v>
      </c>
      <c r="AH21" s="47">
        <v>2.1873780684100001E-4</v>
      </c>
      <c r="AI21" s="47">
        <v>1.78906678455E-4</v>
      </c>
      <c r="AJ21" s="47">
        <v>1.00857861345E-4</v>
      </c>
      <c r="AK21" s="47">
        <v>6.5505122135600004E-5</v>
      </c>
      <c r="AL21" s="47">
        <v>4.9961142627100002E-5</v>
      </c>
      <c r="AM21" s="47">
        <v>-1.07029852206E-5</v>
      </c>
      <c r="AN21" s="47">
        <v>-1.28885079997E-5</v>
      </c>
      <c r="AO21" s="47">
        <v>-2.9031948115299999E-6</v>
      </c>
      <c r="AP21" s="47">
        <v>1.29766743917E-6</v>
      </c>
      <c r="AQ21" s="47">
        <v>4.01553421774E-6</v>
      </c>
      <c r="AR21" s="47">
        <v>1.10400305211E-5</v>
      </c>
      <c r="AS21" s="47">
        <v>1.8077952469899999E-5</v>
      </c>
      <c r="AT21" s="47">
        <v>2.0162898618399999E-5</v>
      </c>
      <c r="AU21" s="47">
        <v>1.9125854341699999E-4</v>
      </c>
      <c r="AV21" s="47">
        <v>2.32760518584E-4</v>
      </c>
      <c r="AW21" s="47">
        <v>1.9897249656900001E-4</v>
      </c>
      <c r="AX21" s="47">
        <v>1.18168999499E-4</v>
      </c>
      <c r="AY21" s="47">
        <v>8.5968032976699998E-5</v>
      </c>
      <c r="AZ21" s="47">
        <v>6.6090325802599999E-5</v>
      </c>
      <c r="BA21" s="47">
        <v>2.9061417172900002E-4</v>
      </c>
      <c r="BB21" s="47">
        <v>-1.4477946725700001E-5</v>
      </c>
      <c r="BC21" s="47">
        <v>4.2405171309E-6</v>
      </c>
      <c r="BD21" s="47">
        <v>3.7173679183900003E-5</v>
      </c>
      <c r="BE21" s="47">
        <v>2.6935999440299999E-5</v>
      </c>
      <c r="BF21" s="47">
        <v>3.0770341738600002E-5</v>
      </c>
      <c r="BG21" s="47">
        <v>2.9974573416299999E-5</v>
      </c>
      <c r="BH21" s="47">
        <v>2.9013176147399999E-5</v>
      </c>
      <c r="BI21" s="47">
        <v>2.95969977677E-4</v>
      </c>
      <c r="BJ21" s="47">
        <v>3.26489149804E-4</v>
      </c>
      <c r="BK21" s="47">
        <v>2.7156587468800001E-4</v>
      </c>
      <c r="BL21" s="47">
        <v>1.4752740276500001E-4</v>
      </c>
      <c r="BM21" s="47">
        <v>1.02771361968E-4</v>
      </c>
      <c r="BN21" s="47">
        <v>8.7910742364599999E-5</v>
      </c>
    </row>
    <row r="22" spans="1:66">
      <c r="A22" s="47">
        <v>3.6750350052900002E-5</v>
      </c>
      <c r="B22" s="47">
        <v>2.7439044677E-5</v>
      </c>
      <c r="C22" s="47">
        <v>4.3343645920100001E-5</v>
      </c>
      <c r="D22" s="47">
        <v>5.0535173278199999E-5</v>
      </c>
      <c r="E22" s="47">
        <v>5.2819851420900001E-5</v>
      </c>
      <c r="F22" s="47">
        <v>5.5983735405400002E-6</v>
      </c>
      <c r="G22" s="47">
        <v>3.7582937249199999E-6</v>
      </c>
      <c r="H22" s="47">
        <v>1.6257097470100002E-5</v>
      </c>
      <c r="I22" s="47">
        <v>1.8902239029899999E-5</v>
      </c>
      <c r="J22" s="47">
        <v>7.7982865777600002E-5</v>
      </c>
      <c r="K22" s="47">
        <v>-3.4212254000400001E-5</v>
      </c>
      <c r="L22" s="47">
        <v>-3.7161471829800002E-5</v>
      </c>
      <c r="M22" s="47">
        <v>1.9084237461899999E-5</v>
      </c>
      <c r="N22" s="47">
        <v>2.7334700647499999E-5</v>
      </c>
      <c r="O22" s="47">
        <v>1.4844136295499999E-5</v>
      </c>
      <c r="P22" s="47">
        <v>1.7601953378300002E-5</v>
      </c>
      <c r="Q22" s="47">
        <v>9.6630935748700007E-6</v>
      </c>
      <c r="R22" s="47">
        <v>5.2420840216799997E-7</v>
      </c>
      <c r="S22" s="47">
        <v>1.4064165584600001E-4</v>
      </c>
      <c r="T22" s="47">
        <v>1.7303166354900001E-4</v>
      </c>
      <c r="U22" s="47">
        <v>2.0589637598300001E-4</v>
      </c>
      <c r="V22" s="47">
        <v>1.6260264358099999E-4</v>
      </c>
      <c r="W22" s="47">
        <v>1.3181364751600001E-4</v>
      </c>
      <c r="X22" s="47">
        <v>1.1678719670800001E-4</v>
      </c>
      <c r="Y22" s="47">
        <v>1.07239590423E-3</v>
      </c>
      <c r="Z22" s="47">
        <v>2.3734402590000001E-4</v>
      </c>
      <c r="AA22" s="47">
        <v>3.1330553910299999E-5</v>
      </c>
      <c r="AB22" s="47">
        <v>6.76086885729E-5</v>
      </c>
      <c r="AC22" s="47">
        <v>4.00678987999E-5</v>
      </c>
      <c r="AD22" s="47">
        <v>4.12417913154E-5</v>
      </c>
      <c r="AE22" s="47">
        <v>3.2835949279199999E-5</v>
      </c>
      <c r="AF22" s="47">
        <v>3.0839447968199997E-5</v>
      </c>
      <c r="AG22" s="47">
        <v>2.6431736002299999E-4</v>
      </c>
      <c r="AH22" s="47">
        <v>2.8758669023500001E-4</v>
      </c>
      <c r="AI22" s="47">
        <v>2.40521165669E-4</v>
      </c>
      <c r="AJ22" s="47">
        <v>1.42179361779E-4</v>
      </c>
      <c r="AK22" s="47">
        <v>9.5884953767900005E-5</v>
      </c>
      <c r="AL22" s="47">
        <v>7.5896487827000007E-5</v>
      </c>
      <c r="AM22" s="47">
        <v>-1.52721210759E-5</v>
      </c>
      <c r="AN22" s="47">
        <v>-2.6325002564100001E-5</v>
      </c>
      <c r="AO22" s="47">
        <v>-6.6515866332700003E-6</v>
      </c>
      <c r="AP22" s="47">
        <v>2.2414964299199999E-7</v>
      </c>
      <c r="AQ22" s="47">
        <v>4.1824250339200002E-6</v>
      </c>
      <c r="AR22" s="47">
        <v>1.2437756415000001E-5</v>
      </c>
      <c r="AS22" s="47">
        <v>2.1636543409300001E-5</v>
      </c>
      <c r="AT22" s="47">
        <v>2.4842032077300001E-5</v>
      </c>
      <c r="AU22" s="47">
        <v>2.5382863992499998E-4</v>
      </c>
      <c r="AV22" s="47">
        <v>3.1053361990799998E-4</v>
      </c>
      <c r="AW22" s="47">
        <v>2.6720751000499997E-4</v>
      </c>
      <c r="AX22" s="47">
        <v>1.62827533785E-4</v>
      </c>
      <c r="AY22" s="47">
        <v>1.20070496536E-4</v>
      </c>
      <c r="AZ22" s="47">
        <v>9.3685551387300003E-5</v>
      </c>
      <c r="BA22" s="47">
        <v>3.8571613137300002E-4</v>
      </c>
      <c r="BB22" s="47">
        <v>-2.9952189785899999E-5</v>
      </c>
      <c r="BC22" s="47">
        <v>-3.1573948565899998E-7</v>
      </c>
      <c r="BD22" s="47">
        <v>4.3672771253599998E-5</v>
      </c>
      <c r="BE22" s="47">
        <v>3.3835372517999998E-5</v>
      </c>
      <c r="BF22" s="47">
        <v>3.8171221408100002E-5</v>
      </c>
      <c r="BG22" s="47">
        <v>3.7397523482499998E-5</v>
      </c>
      <c r="BH22" s="47">
        <v>3.6397305937899997E-5</v>
      </c>
      <c r="BI22" s="47">
        <v>3.65994702646E-4</v>
      </c>
      <c r="BJ22" s="47">
        <v>4.1157279911300002E-4</v>
      </c>
      <c r="BK22" s="47">
        <v>3.4515867434200002E-4</v>
      </c>
      <c r="BL22" s="47">
        <v>1.8717178406600001E-4</v>
      </c>
      <c r="BM22" s="47">
        <v>1.29967616491E-4</v>
      </c>
      <c r="BN22" s="47">
        <v>1.10474545003E-4</v>
      </c>
    </row>
    <row r="23" spans="1:66">
      <c r="A23" s="47">
        <v>4.2183154291100003E-5</v>
      </c>
      <c r="B23" s="47">
        <v>3.57589849972E-5</v>
      </c>
      <c r="C23" s="47">
        <v>5.42835045708E-5</v>
      </c>
      <c r="D23" s="47">
        <v>6.1920987976499999E-5</v>
      </c>
      <c r="E23" s="47">
        <v>6.89410179944E-5</v>
      </c>
      <c r="F23" s="47">
        <v>5.49120715729E-6</v>
      </c>
      <c r="G23" s="47">
        <v>-1.5648142657000001E-6</v>
      </c>
      <c r="H23" s="47">
        <v>1.74283331106E-5</v>
      </c>
      <c r="I23" s="47">
        <v>2.21949219245E-5</v>
      </c>
      <c r="J23" s="47">
        <v>1.07347964862E-4</v>
      </c>
      <c r="K23" s="47">
        <v>-3.0500267504499999E-5</v>
      </c>
      <c r="L23" s="47">
        <v>-5.7673507336700003E-5</v>
      </c>
      <c r="M23" s="47">
        <v>1.50030570338E-5</v>
      </c>
      <c r="N23" s="47">
        <v>2.6766358221100001E-5</v>
      </c>
      <c r="O23" s="47">
        <v>1.2789990212200001E-5</v>
      </c>
      <c r="P23" s="47">
        <v>8.2947812643000008E-6</v>
      </c>
      <c r="Q23" s="47">
        <v>-9.9177599480600006E-7</v>
      </c>
      <c r="R23" s="47">
        <v>-1.03102853506E-6</v>
      </c>
      <c r="S23" s="47">
        <v>1.6226574383199999E-4</v>
      </c>
      <c r="T23" s="47">
        <v>2.0589637598300001E-4</v>
      </c>
      <c r="U23" s="47">
        <v>2.6034319105900001E-4</v>
      </c>
      <c r="V23" s="47">
        <v>2.08194468947E-4</v>
      </c>
      <c r="W23" s="47">
        <v>1.7016851324099999E-4</v>
      </c>
      <c r="X23" s="47">
        <v>1.5132674768100001E-4</v>
      </c>
      <c r="Y23" s="47">
        <v>1.1646742795700001E-3</v>
      </c>
      <c r="Z23" s="47">
        <v>2.7289943173800001E-4</v>
      </c>
      <c r="AA23" s="47">
        <v>3.7139141598299998E-5</v>
      </c>
      <c r="AB23" s="47">
        <v>7.7819970203099996E-5</v>
      </c>
      <c r="AC23" s="47">
        <v>4.4481937055600001E-5</v>
      </c>
      <c r="AD23" s="47">
        <v>4.9763840710299999E-5</v>
      </c>
      <c r="AE23" s="47">
        <v>3.9773581710799999E-5</v>
      </c>
      <c r="AF23" s="47">
        <v>3.8160876417300001E-5</v>
      </c>
      <c r="AG23" s="47">
        <v>3.3346701927200001E-4</v>
      </c>
      <c r="AH23" s="47">
        <v>3.70100549057E-4</v>
      </c>
      <c r="AI23" s="47">
        <v>3.14026234492E-4</v>
      </c>
      <c r="AJ23" s="47">
        <v>1.9327648967600001E-4</v>
      </c>
      <c r="AK23" s="47">
        <v>1.3547007209399999E-4</v>
      </c>
      <c r="AL23" s="47">
        <v>1.10914017129E-4</v>
      </c>
      <c r="AM23" s="47">
        <v>-9.1636282043800002E-6</v>
      </c>
      <c r="AN23" s="47">
        <v>-1.24155488806E-5</v>
      </c>
      <c r="AO23" s="47">
        <v>-3.7799894170599999E-6</v>
      </c>
      <c r="AP23" s="47">
        <v>1.9682563357500002E-6</v>
      </c>
      <c r="AQ23" s="47">
        <v>5.5746677295900003E-6</v>
      </c>
      <c r="AR23" s="47">
        <v>1.6262324262E-5</v>
      </c>
      <c r="AS23" s="47">
        <v>2.8520038187599999E-5</v>
      </c>
      <c r="AT23" s="47">
        <v>3.2995693608700001E-5</v>
      </c>
      <c r="AU23" s="47">
        <v>3.34632828593E-4</v>
      </c>
      <c r="AV23" s="47">
        <v>4.1218581148399998E-4</v>
      </c>
      <c r="AW23" s="47">
        <v>3.5902461939000001E-4</v>
      </c>
      <c r="AX23" s="47">
        <v>2.2494839900700001E-4</v>
      </c>
      <c r="AY23" s="47">
        <v>1.6927207512300001E-4</v>
      </c>
      <c r="AZ23" s="47">
        <v>1.33807764609E-4</v>
      </c>
      <c r="BA23" s="47">
        <v>3.8428415130899998E-4</v>
      </c>
      <c r="BB23" s="47">
        <v>1.0043193227600001E-5</v>
      </c>
      <c r="BC23" s="47">
        <v>1.60240617956E-5</v>
      </c>
      <c r="BD23" s="47">
        <v>5.3170260394399999E-5</v>
      </c>
      <c r="BE23" s="47">
        <v>4.2336564351500003E-5</v>
      </c>
      <c r="BF23" s="47">
        <v>5.03502973189E-5</v>
      </c>
      <c r="BG23" s="47">
        <v>4.6642444416900001E-5</v>
      </c>
      <c r="BH23" s="47">
        <v>4.3648563005899997E-5</v>
      </c>
      <c r="BI23" s="47">
        <v>4.4858331972900001E-4</v>
      </c>
      <c r="BJ23" s="47">
        <v>5.1684859692799996E-4</v>
      </c>
      <c r="BK23" s="47">
        <v>4.3456269675799997E-4</v>
      </c>
      <c r="BL23" s="47">
        <v>2.3762279868800001E-4</v>
      </c>
      <c r="BM23" s="47">
        <v>1.6621311073E-4</v>
      </c>
      <c r="BN23" s="47">
        <v>1.4094079499000001E-4</v>
      </c>
    </row>
    <row r="24" spans="1:66">
      <c r="A24" s="47">
        <v>2.8906443610999999E-5</v>
      </c>
      <c r="B24" s="47">
        <v>2.6666893198600001E-5</v>
      </c>
      <c r="C24" s="47">
        <v>4.0238327340799997E-5</v>
      </c>
      <c r="D24" s="47">
        <v>4.5261065874299999E-5</v>
      </c>
      <c r="E24" s="47">
        <v>5.2100922241300003E-5</v>
      </c>
      <c r="F24" s="47">
        <v>9.1825109195200004E-6</v>
      </c>
      <c r="G24" s="47">
        <v>7.2159727543099997E-6</v>
      </c>
      <c r="H24" s="47">
        <v>1.2129168145700001E-5</v>
      </c>
      <c r="I24" s="47">
        <v>1.5560457820899999E-5</v>
      </c>
      <c r="J24" s="47">
        <v>7.1478300563600005E-5</v>
      </c>
      <c r="K24" s="47">
        <v>-3.0652348637999998E-5</v>
      </c>
      <c r="L24" s="47">
        <v>-4.0964735841700001E-5</v>
      </c>
      <c r="M24" s="47">
        <v>1.6182689192600002E-5</v>
      </c>
      <c r="N24" s="47">
        <v>2.55744756585E-5</v>
      </c>
      <c r="O24" s="47">
        <v>1.7605138590499999E-5</v>
      </c>
      <c r="P24" s="47">
        <v>1.3967437358000001E-5</v>
      </c>
      <c r="Q24" s="47">
        <v>1.2457552669199999E-6</v>
      </c>
      <c r="R24" s="47">
        <v>-2.38264065667E-6</v>
      </c>
      <c r="S24" s="47">
        <v>1.26726734286E-4</v>
      </c>
      <c r="T24" s="47">
        <v>1.6260264358099999E-4</v>
      </c>
      <c r="U24" s="47">
        <v>2.08194468947E-4</v>
      </c>
      <c r="V24" s="47">
        <v>1.74406853969E-4</v>
      </c>
      <c r="W24" s="47">
        <v>1.44292632249E-4</v>
      </c>
      <c r="X24" s="47">
        <v>1.2848423717299999E-4</v>
      </c>
      <c r="Y24" s="47">
        <v>1.11236378637E-3</v>
      </c>
      <c r="Z24" s="47">
        <v>2.14952942764E-4</v>
      </c>
      <c r="AA24" s="47">
        <v>3.2865292268399997E-5</v>
      </c>
      <c r="AB24" s="47">
        <v>7.0530211578299996E-5</v>
      </c>
      <c r="AC24" s="47">
        <v>3.7959048994100003E-5</v>
      </c>
      <c r="AD24" s="47">
        <v>4.1402880026600001E-5</v>
      </c>
      <c r="AE24" s="47">
        <v>3.2290905039799998E-5</v>
      </c>
      <c r="AF24" s="47">
        <v>3.2909380916000002E-5</v>
      </c>
      <c r="AG24" s="47">
        <v>2.8114306265800002E-4</v>
      </c>
      <c r="AH24" s="47">
        <v>3.1406627980299999E-4</v>
      </c>
      <c r="AI24" s="47">
        <v>2.6345811918999999E-4</v>
      </c>
      <c r="AJ24" s="47">
        <v>1.6403056476200001E-4</v>
      </c>
      <c r="AK24" s="47">
        <v>1.1737733374E-4</v>
      </c>
      <c r="AL24" s="47">
        <v>9.7135467554400006E-5</v>
      </c>
      <c r="AM24" s="47">
        <v>-1.26347468566E-5</v>
      </c>
      <c r="AN24" s="47">
        <v>-2.31214316893E-5</v>
      </c>
      <c r="AO24" s="47">
        <v>-6.0313039741100003E-6</v>
      </c>
      <c r="AP24" s="47">
        <v>6.8647745918500003E-7</v>
      </c>
      <c r="AQ24" s="47">
        <v>3.9884844778000001E-6</v>
      </c>
      <c r="AR24" s="47">
        <v>1.2550295632E-5</v>
      </c>
      <c r="AS24" s="47">
        <v>2.2786902135800001E-5</v>
      </c>
      <c r="AT24" s="47">
        <v>2.6571805292500001E-5</v>
      </c>
      <c r="AU24" s="47">
        <v>2.72135827425E-4</v>
      </c>
      <c r="AV24" s="47">
        <v>3.36457183848E-4</v>
      </c>
      <c r="AW24" s="47">
        <v>2.91766132589E-4</v>
      </c>
      <c r="AX24" s="47">
        <v>1.8896042778999999E-4</v>
      </c>
      <c r="AY24" s="47">
        <v>1.42944808593E-4</v>
      </c>
      <c r="AZ24" s="47">
        <v>1.1330694836E-4</v>
      </c>
      <c r="BA24" s="47">
        <v>2.4167310187599999E-4</v>
      </c>
      <c r="BB24" s="47">
        <v>-5.5139932047900002E-5</v>
      </c>
      <c r="BC24" s="47">
        <v>-3.3307991692300001E-6</v>
      </c>
      <c r="BD24" s="47">
        <v>4.1989222856900001E-5</v>
      </c>
      <c r="BE24" s="47">
        <v>3.2603356559499997E-5</v>
      </c>
      <c r="BF24" s="47">
        <v>3.93205654633E-5</v>
      </c>
      <c r="BG24" s="47">
        <v>3.7296384253599998E-5</v>
      </c>
      <c r="BH24" s="47">
        <v>3.5449651239000002E-5</v>
      </c>
      <c r="BI24" s="47">
        <v>3.6184948057600003E-4</v>
      </c>
      <c r="BJ24" s="47">
        <v>4.1971939387899998E-4</v>
      </c>
      <c r="BK24" s="47">
        <v>3.5171456959299998E-4</v>
      </c>
      <c r="BL24" s="47">
        <v>1.9512916341999999E-4</v>
      </c>
      <c r="BM24" s="47">
        <v>1.3855529000000001E-4</v>
      </c>
      <c r="BN24" s="47">
        <v>1.18995912056E-4</v>
      </c>
    </row>
    <row r="25" spans="1:66">
      <c r="A25" s="47">
        <v>2.13626502366E-5</v>
      </c>
      <c r="B25" s="47">
        <v>2.0537298575E-5</v>
      </c>
      <c r="C25" s="47">
        <v>3.02359669313E-5</v>
      </c>
      <c r="D25" s="47">
        <v>3.4616967565799998E-5</v>
      </c>
      <c r="E25" s="47">
        <v>3.9567555259699997E-5</v>
      </c>
      <c r="F25" s="47">
        <v>9.2819098382399995E-6</v>
      </c>
      <c r="G25" s="47">
        <v>4.6006115286300002E-6</v>
      </c>
      <c r="H25" s="47">
        <v>8.6562959625899999E-6</v>
      </c>
      <c r="I25" s="47">
        <v>1.17548878531E-5</v>
      </c>
      <c r="J25" s="47">
        <v>5.2218117348999997E-5</v>
      </c>
      <c r="K25" s="47">
        <v>-2.5221006285500001E-5</v>
      </c>
      <c r="L25" s="47">
        <v>-3.4247454341800001E-5</v>
      </c>
      <c r="M25" s="47">
        <v>1.00786613799E-5</v>
      </c>
      <c r="N25" s="47">
        <v>1.71259026502E-5</v>
      </c>
      <c r="O25" s="47">
        <v>1.2023343082700001E-5</v>
      </c>
      <c r="P25" s="47">
        <v>9.7539405747499993E-6</v>
      </c>
      <c r="Q25" s="47">
        <v>-1.91119108676E-6</v>
      </c>
      <c r="R25" s="47">
        <v>2.2971814593599999E-5</v>
      </c>
      <c r="S25" s="47">
        <v>1.0283280946E-4</v>
      </c>
      <c r="T25" s="47">
        <v>1.3181364751600001E-4</v>
      </c>
      <c r="U25" s="47">
        <v>1.7016851324099999E-4</v>
      </c>
      <c r="V25" s="47">
        <v>1.44292632249E-4</v>
      </c>
      <c r="W25" s="47">
        <v>1.2240387155799999E-4</v>
      </c>
      <c r="X25" s="47">
        <v>1.09781958335E-4</v>
      </c>
      <c r="Y25" s="47">
        <v>7.0111942392300005E-4</v>
      </c>
      <c r="Z25" s="47">
        <v>1.6689745842200001E-4</v>
      </c>
      <c r="AA25" s="47">
        <v>2.2926499050500001E-5</v>
      </c>
      <c r="AB25" s="47">
        <v>5.4730241468299999E-5</v>
      </c>
      <c r="AC25" s="47">
        <v>3.1485985505599999E-5</v>
      </c>
      <c r="AD25" s="47">
        <v>3.5140650478899998E-5</v>
      </c>
      <c r="AE25" s="47">
        <v>2.77059078157E-5</v>
      </c>
      <c r="AF25" s="47">
        <v>2.6888220693900001E-5</v>
      </c>
      <c r="AG25" s="47">
        <v>2.2250783397600001E-4</v>
      </c>
      <c r="AH25" s="47">
        <v>2.5260027374700002E-4</v>
      </c>
      <c r="AI25" s="47">
        <v>2.1112474236899999E-4</v>
      </c>
      <c r="AJ25" s="47">
        <v>1.31821998177E-4</v>
      </c>
      <c r="AK25" s="47">
        <v>9.4867849618300001E-5</v>
      </c>
      <c r="AL25" s="47">
        <v>7.9285638281099995E-5</v>
      </c>
      <c r="AM25" s="47">
        <v>-1.16742001939E-5</v>
      </c>
      <c r="AN25" s="47">
        <v>-1.7026124855099999E-5</v>
      </c>
      <c r="AO25" s="47">
        <v>-4.6517451164799996E-6</v>
      </c>
      <c r="AP25" s="47">
        <v>6.4773912436199997E-7</v>
      </c>
      <c r="AQ25" s="47">
        <v>3.5559877576499998E-6</v>
      </c>
      <c r="AR25" s="47">
        <v>1.01207700302E-5</v>
      </c>
      <c r="AS25" s="47">
        <v>1.8104870872100001E-5</v>
      </c>
      <c r="AT25" s="47">
        <v>2.0784100877699998E-5</v>
      </c>
      <c r="AU25" s="47">
        <v>2.1331377833E-4</v>
      </c>
      <c r="AV25" s="47">
        <v>2.6807921574700002E-4</v>
      </c>
      <c r="AW25" s="47">
        <v>2.34977788072E-4</v>
      </c>
      <c r="AX25" s="47">
        <v>1.5406251704400001E-4</v>
      </c>
      <c r="AY25" s="47">
        <v>1.1714207877E-4</v>
      </c>
      <c r="AZ25" s="47">
        <v>9.2363605428600004E-5</v>
      </c>
      <c r="BA25" s="47">
        <v>2.2623375434300001E-4</v>
      </c>
      <c r="BB25" s="47">
        <v>-5.35056604527E-5</v>
      </c>
      <c r="BC25" s="47">
        <v>-5.1806095776499999E-6</v>
      </c>
      <c r="BD25" s="47">
        <v>3.0705894594799997E-5</v>
      </c>
      <c r="BE25" s="47">
        <v>2.47481894257E-5</v>
      </c>
      <c r="BF25" s="47">
        <v>3.0649804359300002E-5</v>
      </c>
      <c r="BG25" s="47">
        <v>2.8396734901399999E-5</v>
      </c>
      <c r="BH25" s="47">
        <v>2.6433267694399998E-5</v>
      </c>
      <c r="BI25" s="47">
        <v>2.9452725921799998E-4</v>
      </c>
      <c r="BJ25" s="47">
        <v>3.3543369923899998E-4</v>
      </c>
      <c r="BK25" s="47">
        <v>2.8362394668900002E-4</v>
      </c>
      <c r="BL25" s="47">
        <v>1.58731212625E-4</v>
      </c>
      <c r="BM25" s="47">
        <v>1.13557992839E-4</v>
      </c>
      <c r="BN25" s="47">
        <v>9.8589962818299996E-5</v>
      </c>
    </row>
    <row r="26" spans="1:66">
      <c r="A26" s="47">
        <v>1.7910499449399999E-5</v>
      </c>
      <c r="B26" s="47">
        <v>1.7185864694900001E-5</v>
      </c>
      <c r="C26" s="47">
        <v>2.5398332196299999E-5</v>
      </c>
      <c r="D26" s="47">
        <v>2.94066745858E-5</v>
      </c>
      <c r="E26" s="47">
        <v>3.7390013480900003E-5</v>
      </c>
      <c r="F26" s="47">
        <v>1.0919747921400001E-5</v>
      </c>
      <c r="G26" s="47">
        <v>3.7128041744099999E-6</v>
      </c>
      <c r="H26" s="47">
        <v>7.3836307863E-6</v>
      </c>
      <c r="I26" s="47">
        <v>1.0344127323999999E-5</v>
      </c>
      <c r="J26" s="47">
        <v>4.3201850150599999E-5</v>
      </c>
      <c r="K26" s="47">
        <v>-2.1250577212299999E-5</v>
      </c>
      <c r="L26" s="47">
        <v>-4.16346668325E-5</v>
      </c>
      <c r="M26" s="47">
        <v>4.3463470466600002E-7</v>
      </c>
      <c r="N26" s="47">
        <v>8.8325635552099998E-6</v>
      </c>
      <c r="O26" s="47">
        <v>5.2681585245400001E-6</v>
      </c>
      <c r="P26" s="47">
        <v>4.5739153778100004E-6</v>
      </c>
      <c r="Q26" s="47">
        <v>-6.4183470152700002E-6</v>
      </c>
      <c r="R26" s="47">
        <v>4.1656649734199998E-5</v>
      </c>
      <c r="S26" s="47">
        <v>9.0942732154500002E-5</v>
      </c>
      <c r="T26" s="47">
        <v>1.1678719670800001E-4</v>
      </c>
      <c r="U26" s="47">
        <v>1.5132674768100001E-4</v>
      </c>
      <c r="V26" s="47">
        <v>1.2848423717299999E-4</v>
      </c>
      <c r="W26" s="47">
        <v>1.09781958335E-4</v>
      </c>
      <c r="X26" s="47">
        <v>9.9752438102600004E-5</v>
      </c>
      <c r="Y26" s="47">
        <v>6.2363804769400004E-4</v>
      </c>
      <c r="Z26" s="47">
        <v>1.3534495539300001E-4</v>
      </c>
      <c r="AA26" s="47">
        <v>1.93576768869E-5</v>
      </c>
      <c r="AB26" s="47">
        <v>4.9109186811600003E-5</v>
      </c>
      <c r="AC26" s="47">
        <v>2.93532084434E-5</v>
      </c>
      <c r="AD26" s="47">
        <v>3.1520935568799999E-5</v>
      </c>
      <c r="AE26" s="47">
        <v>2.47503598535E-5</v>
      </c>
      <c r="AF26" s="47">
        <v>2.3429032041399999E-5</v>
      </c>
      <c r="AG26" s="47">
        <v>1.9688259594399999E-4</v>
      </c>
      <c r="AH26" s="47">
        <v>2.23005806582E-4</v>
      </c>
      <c r="AI26" s="47">
        <v>1.86399086713E-4</v>
      </c>
      <c r="AJ26" s="47">
        <v>1.1609354133899999E-4</v>
      </c>
      <c r="AK26" s="47">
        <v>8.4088737663600002E-5</v>
      </c>
      <c r="AL26" s="47">
        <v>7.0547576503100006E-5</v>
      </c>
      <c r="AM26" s="47">
        <v>-1.1608752444099999E-5</v>
      </c>
      <c r="AN26" s="47">
        <v>-1.28602952817E-5</v>
      </c>
      <c r="AO26" s="47">
        <v>-3.66230741769E-6</v>
      </c>
      <c r="AP26" s="47">
        <v>7.7033905045399997E-7</v>
      </c>
      <c r="AQ26" s="47">
        <v>3.6810410124800001E-6</v>
      </c>
      <c r="AR26" s="47">
        <v>9.2552247049000002E-6</v>
      </c>
      <c r="AS26" s="47">
        <v>1.5877248064399999E-5</v>
      </c>
      <c r="AT26" s="47">
        <v>1.7712562370699998E-5</v>
      </c>
      <c r="AU26" s="47">
        <v>1.8545711544700001E-4</v>
      </c>
      <c r="AV26" s="47">
        <v>2.3434341206699999E-4</v>
      </c>
      <c r="AW26" s="47">
        <v>2.0662055757399999E-4</v>
      </c>
      <c r="AX26" s="47">
        <v>1.3639839801199999E-4</v>
      </c>
      <c r="AY26" s="47">
        <v>1.0427616951499999E-4</v>
      </c>
      <c r="AZ26" s="47">
        <v>8.2644176622100006E-5</v>
      </c>
      <c r="BA26" s="47">
        <v>1.80321376265E-4</v>
      </c>
      <c r="BB26" s="47">
        <v>-4.5367788645200002E-5</v>
      </c>
      <c r="BC26" s="47">
        <v>-2.3003292056599998E-6</v>
      </c>
      <c r="BD26" s="47">
        <v>2.76520364754E-5</v>
      </c>
      <c r="BE26" s="47">
        <v>2.1117564825500002E-5</v>
      </c>
      <c r="BF26" s="47">
        <v>2.82399310098E-5</v>
      </c>
      <c r="BG26" s="47">
        <v>2.54443589326E-5</v>
      </c>
      <c r="BH26" s="47">
        <v>2.3128707773099998E-5</v>
      </c>
      <c r="BI26" s="47">
        <v>2.6119066715099998E-4</v>
      </c>
      <c r="BJ26" s="47">
        <v>2.9509254887999999E-4</v>
      </c>
      <c r="BK26" s="47">
        <v>2.4862289611999997E-4</v>
      </c>
      <c r="BL26" s="47">
        <v>1.4014314896200001E-4</v>
      </c>
      <c r="BM26" s="47">
        <v>1.0025436429E-4</v>
      </c>
      <c r="BN26" s="47">
        <v>8.7808985945599994E-5</v>
      </c>
    </row>
    <row r="27" spans="1:66">
      <c r="A27" s="47">
        <v>2.7377870564199998E-4</v>
      </c>
      <c r="B27" s="47">
        <v>-3.8589093334400002E-5</v>
      </c>
      <c r="C27" s="47">
        <v>2.6202204474100001E-4</v>
      </c>
      <c r="D27" s="47">
        <v>1.4301525281999999E-4</v>
      </c>
      <c r="E27" s="47">
        <v>5.9750757446599998E-5</v>
      </c>
      <c r="F27" s="47">
        <v>2.1127899174299999E-3</v>
      </c>
      <c r="G27" s="47">
        <v>2.3271621879099999E-4</v>
      </c>
      <c r="H27" s="47">
        <v>1.4035278792899999E-4</v>
      </c>
      <c r="I27" s="47">
        <v>1.2993008239799999E-4</v>
      </c>
      <c r="J27" s="47">
        <v>6.7995567279999995E-4</v>
      </c>
      <c r="K27" s="47">
        <v>3.9904548285500004E-3</v>
      </c>
      <c r="L27" s="47">
        <v>2.8517144683100001E-3</v>
      </c>
      <c r="M27" s="47">
        <v>1.2861603466599999E-3</v>
      </c>
      <c r="N27" s="47">
        <v>1.42102335576E-3</v>
      </c>
      <c r="O27" s="47">
        <v>1.0346073607500001E-3</v>
      </c>
      <c r="P27" s="47">
        <v>1.6246196479800001E-3</v>
      </c>
      <c r="Q27" s="47">
        <v>5.9378600145799996E-4</v>
      </c>
      <c r="R27" s="47">
        <v>-1.4767834188100001E-3</v>
      </c>
      <c r="S27" s="47">
        <v>6.0403909783400002E-4</v>
      </c>
      <c r="T27" s="47">
        <v>1.07239590423E-3</v>
      </c>
      <c r="U27" s="47">
        <v>1.1646742795700001E-3</v>
      </c>
      <c r="V27" s="47">
        <v>1.11236378637E-3</v>
      </c>
      <c r="W27" s="47">
        <v>7.0111942392300005E-4</v>
      </c>
      <c r="X27" s="47">
        <v>6.2363804769400004E-4</v>
      </c>
      <c r="Y27" s="47">
        <v>0.181831567428</v>
      </c>
      <c r="Z27" s="47">
        <v>1.2578331397999999E-2</v>
      </c>
      <c r="AA27" s="47">
        <v>3.9574955940500003E-3</v>
      </c>
      <c r="AB27" s="47">
        <v>3.9300983003000001E-3</v>
      </c>
      <c r="AC27" s="47">
        <v>2.0536879956899999E-3</v>
      </c>
      <c r="AD27" s="47">
        <v>9.1670558586999995E-4</v>
      </c>
      <c r="AE27" s="47">
        <v>6.4576830650599996E-4</v>
      </c>
      <c r="AF27" s="47">
        <v>4.7383012651899998E-4</v>
      </c>
      <c r="AG27" s="47">
        <v>4.4661799793000003E-3</v>
      </c>
      <c r="AH27" s="47">
        <v>4.3334209790800004E-3</v>
      </c>
      <c r="AI27" s="47">
        <v>3.5793549833300002E-3</v>
      </c>
      <c r="AJ27" s="47">
        <v>1.96558335608E-3</v>
      </c>
      <c r="AK27" s="47">
        <v>1.40714971046E-3</v>
      </c>
      <c r="AL27" s="47">
        <v>1.1024261638699999E-3</v>
      </c>
      <c r="AM27" s="47">
        <v>-3.6428022741000002E-3</v>
      </c>
      <c r="AN27" s="47">
        <v>-8.6662502654000001E-4</v>
      </c>
      <c r="AO27" s="47">
        <v>-1.2961948425300001E-4</v>
      </c>
      <c r="AP27" s="47">
        <v>2.73330844104E-5</v>
      </c>
      <c r="AQ27" s="47">
        <v>1.9027051597300001E-4</v>
      </c>
      <c r="AR27" s="47">
        <v>2.07013825491E-4</v>
      </c>
      <c r="AS27" s="47">
        <v>2.14202138547E-4</v>
      </c>
      <c r="AT27" s="47">
        <v>1.59047065044E-4</v>
      </c>
      <c r="AU27" s="47">
        <v>3.2910108441799998E-3</v>
      </c>
      <c r="AV27" s="47">
        <v>3.6133955730900001E-3</v>
      </c>
      <c r="AW27" s="47">
        <v>2.7347461078600001E-3</v>
      </c>
      <c r="AX27" s="47">
        <v>1.56849714418E-3</v>
      </c>
      <c r="AY27" s="47">
        <v>1.13226189602E-3</v>
      </c>
      <c r="AZ27" s="47">
        <v>9.5645177018300004E-4</v>
      </c>
      <c r="BA27" s="47">
        <v>1.0291523224099999E-2</v>
      </c>
      <c r="BB27" s="47">
        <v>1.8847567513299999E-2</v>
      </c>
      <c r="BC27" s="47">
        <v>5.2587232975199998E-3</v>
      </c>
      <c r="BD27" s="47">
        <v>3.5701281430299998E-3</v>
      </c>
      <c r="BE27" s="47">
        <v>2.3186479409800002E-3</v>
      </c>
      <c r="BF27" s="47">
        <v>1.38333486188E-3</v>
      </c>
      <c r="BG27" s="47">
        <v>1.22216198013E-3</v>
      </c>
      <c r="BH27" s="47">
        <v>1.1639299364200001E-3</v>
      </c>
      <c r="BI27" s="47">
        <v>2.6135614358500001E-3</v>
      </c>
      <c r="BJ27" s="47">
        <v>3.5174340776099999E-3</v>
      </c>
      <c r="BK27" s="47">
        <v>2.6855087768199999E-3</v>
      </c>
      <c r="BL27" s="47">
        <v>1.20528150626E-3</v>
      </c>
      <c r="BM27" s="47">
        <v>6.73533580298E-4</v>
      </c>
      <c r="BN27" s="47">
        <v>3.79360914179E-4</v>
      </c>
    </row>
    <row r="28" spans="1:66">
      <c r="A28" s="47">
        <v>1.3020409376400001E-4</v>
      </c>
      <c r="B28" s="47">
        <v>6.4404235660900003E-5</v>
      </c>
      <c r="C28" s="47">
        <v>1.6534879040999999E-4</v>
      </c>
      <c r="D28" s="47">
        <v>1.8868212790100001E-4</v>
      </c>
      <c r="E28" s="47">
        <v>7.8101936395999995E-5</v>
      </c>
      <c r="F28" s="47">
        <v>2.21305317499E-6</v>
      </c>
      <c r="G28" s="47">
        <v>6.5837094802199999E-5</v>
      </c>
      <c r="H28" s="47">
        <v>-2.0240842556599999E-5</v>
      </c>
      <c r="I28" s="47">
        <v>-2.37290135669E-5</v>
      </c>
      <c r="J28" s="47">
        <v>3.48501673508E-4</v>
      </c>
      <c r="K28" s="47">
        <v>4.9385244968900004E-4</v>
      </c>
      <c r="L28" s="47">
        <v>4.5370489688399999E-4</v>
      </c>
      <c r="M28" s="47">
        <v>-1.8366751731899999E-4</v>
      </c>
      <c r="N28" s="47">
        <v>6.3864726988399996E-6</v>
      </c>
      <c r="O28" s="47">
        <v>6.1201347350199993E-5</v>
      </c>
      <c r="P28" s="47">
        <v>1.8383791895299999E-4</v>
      </c>
      <c r="Q28" s="47">
        <v>3.9600495555999997E-5</v>
      </c>
      <c r="R28" s="47">
        <v>4.7372446132499998E-4</v>
      </c>
      <c r="S28" s="47">
        <v>2.29534860397E-4</v>
      </c>
      <c r="T28" s="47">
        <v>2.3734402590000001E-4</v>
      </c>
      <c r="U28" s="47">
        <v>2.7289943173800001E-4</v>
      </c>
      <c r="V28" s="47">
        <v>2.14952942764E-4</v>
      </c>
      <c r="W28" s="47">
        <v>1.6689745842200001E-4</v>
      </c>
      <c r="X28" s="47">
        <v>1.3534495539300001E-4</v>
      </c>
      <c r="Y28" s="47">
        <v>1.2578331397999999E-2</v>
      </c>
      <c r="Z28" s="47">
        <v>7.0171576763099998E-3</v>
      </c>
      <c r="AA28" s="47">
        <v>1.83984073364E-3</v>
      </c>
      <c r="AB28" s="47">
        <v>1.4569024899299999E-3</v>
      </c>
      <c r="AC28" s="47">
        <v>1.0241832840700001E-3</v>
      </c>
      <c r="AD28" s="47">
        <v>7.0099092806399997E-4</v>
      </c>
      <c r="AE28" s="47">
        <v>4.46004743897E-4</v>
      </c>
      <c r="AF28" s="47">
        <v>3.0276553322300002E-4</v>
      </c>
      <c r="AG28" s="47">
        <v>4.1529278061700002E-4</v>
      </c>
      <c r="AH28" s="47">
        <v>4.1589962608799998E-4</v>
      </c>
      <c r="AI28" s="47">
        <v>2.91671916989E-4</v>
      </c>
      <c r="AJ28" s="47">
        <v>3.3366340194100001E-5</v>
      </c>
      <c r="AK28" s="47">
        <v>-1.29835376676E-5</v>
      </c>
      <c r="AL28" s="47">
        <v>-6.8181909089499998E-5</v>
      </c>
      <c r="AM28" s="47">
        <v>-2.8826081195199997E-4</v>
      </c>
      <c r="AN28" s="47">
        <v>2.5518857415299999E-4</v>
      </c>
      <c r="AO28" s="47">
        <v>1.05977023831E-4</v>
      </c>
      <c r="AP28" s="47">
        <v>9.7882290841199996E-5</v>
      </c>
      <c r="AQ28" s="47">
        <v>9.97423466543E-5</v>
      </c>
      <c r="AR28" s="47">
        <v>2.0250766018000001E-4</v>
      </c>
      <c r="AS28" s="47">
        <v>2.3836069276799999E-4</v>
      </c>
      <c r="AT28" s="47">
        <v>1.8745252640200001E-4</v>
      </c>
      <c r="AU28" s="47">
        <v>4.03203726218E-4</v>
      </c>
      <c r="AV28" s="47">
        <v>4.84945186384E-4</v>
      </c>
      <c r="AW28" s="47">
        <v>4.7158155860000002E-4</v>
      </c>
      <c r="AX28" s="47">
        <v>2.5882043944999998E-4</v>
      </c>
      <c r="AY28" s="47">
        <v>1.58466268481E-4</v>
      </c>
      <c r="AZ28" s="47">
        <v>8.9306369671600001E-5</v>
      </c>
      <c r="BA28" s="47">
        <v>1.8920451429300001E-3</v>
      </c>
      <c r="BB28" s="47">
        <v>3.2351758429400002E-3</v>
      </c>
      <c r="BC28" s="47">
        <v>1.3048834538500001E-3</v>
      </c>
      <c r="BD28" s="47">
        <v>1.06325398075E-3</v>
      </c>
      <c r="BE28" s="47">
        <v>7.0843925230300005E-4</v>
      </c>
      <c r="BF28" s="47">
        <v>6.4001780240300005E-4</v>
      </c>
      <c r="BG28" s="47">
        <v>4.1317164634999999E-4</v>
      </c>
      <c r="BH28" s="47">
        <v>2.6511875557199999E-4</v>
      </c>
      <c r="BI28" s="47">
        <v>4.4829071627499998E-4</v>
      </c>
      <c r="BJ28" s="47">
        <v>5.7909898871100001E-4</v>
      </c>
      <c r="BK28" s="47">
        <v>5.3746638598999995E-4</v>
      </c>
      <c r="BL28" s="47">
        <v>2.8565736951900001E-4</v>
      </c>
      <c r="BM28" s="47">
        <v>1.8057198121899999E-4</v>
      </c>
      <c r="BN28" s="47">
        <v>1.16005049527E-4</v>
      </c>
    </row>
    <row r="29" spans="1:66">
      <c r="A29" s="47">
        <v>2.1715039718800001E-5</v>
      </c>
      <c r="B29" s="47">
        <v>6.01353389382E-6</v>
      </c>
      <c r="C29" s="47">
        <v>2.9314902512200002E-5</v>
      </c>
      <c r="D29" s="47">
        <v>3.2032689191200001E-5</v>
      </c>
      <c r="E29" s="47">
        <v>-1.6144515005699998E-5</v>
      </c>
      <c r="F29" s="47">
        <v>8.9334975199100006E-6</v>
      </c>
      <c r="G29" s="47">
        <v>-1.25145918439E-5</v>
      </c>
      <c r="H29" s="47">
        <v>-8.9182348898700005E-6</v>
      </c>
      <c r="I29" s="47">
        <v>-1.21750923732E-5</v>
      </c>
      <c r="J29" s="47">
        <v>8.2849977803099996E-5</v>
      </c>
      <c r="K29" s="47">
        <v>1.5724931041399999E-4</v>
      </c>
      <c r="L29" s="47">
        <v>1.5936485370900001E-4</v>
      </c>
      <c r="M29" s="47">
        <v>-6.5179624701799995E-5</v>
      </c>
      <c r="N29" s="47">
        <v>-3.7780031014700002E-6</v>
      </c>
      <c r="O29" s="47">
        <v>1.09157749568E-5</v>
      </c>
      <c r="P29" s="47">
        <v>5.2405024660299997E-5</v>
      </c>
      <c r="Q29" s="47">
        <v>1.61290785824E-6</v>
      </c>
      <c r="R29" s="47">
        <v>1.8006536133E-4</v>
      </c>
      <c r="S29" s="47">
        <v>3.1569925381799998E-5</v>
      </c>
      <c r="T29" s="47">
        <v>3.1330553910299999E-5</v>
      </c>
      <c r="U29" s="47">
        <v>3.7139141598299998E-5</v>
      </c>
      <c r="V29" s="47">
        <v>3.2865292268399997E-5</v>
      </c>
      <c r="W29" s="47">
        <v>2.2926499050500001E-5</v>
      </c>
      <c r="X29" s="47">
        <v>1.93576768869E-5</v>
      </c>
      <c r="Y29" s="47">
        <v>3.9574955940500003E-3</v>
      </c>
      <c r="Z29" s="47">
        <v>1.83984073364E-3</v>
      </c>
      <c r="AA29" s="47">
        <v>5.7494517981E-4</v>
      </c>
      <c r="AB29" s="47">
        <v>4.74703682932E-4</v>
      </c>
      <c r="AC29" s="47">
        <v>3.1936723744299997E-4</v>
      </c>
      <c r="AD29" s="47">
        <v>2.1555276356700001E-4</v>
      </c>
      <c r="AE29" s="47">
        <v>1.33852357329E-4</v>
      </c>
      <c r="AF29" s="47">
        <v>9.3690714934000001E-5</v>
      </c>
      <c r="AG29" s="47">
        <v>1.0459459028700001E-4</v>
      </c>
      <c r="AH29" s="47">
        <v>1.1777748048000001E-4</v>
      </c>
      <c r="AI29" s="47">
        <v>8.5998281332800005E-5</v>
      </c>
      <c r="AJ29" s="47">
        <v>1.3145155621700001E-5</v>
      </c>
      <c r="AK29" s="47">
        <v>9.1185784742500008E-6</v>
      </c>
      <c r="AL29" s="47">
        <v>-7.2803409442299998E-6</v>
      </c>
      <c r="AM29" s="47">
        <v>-1.1748108582E-4</v>
      </c>
      <c r="AN29" s="47">
        <v>4.7577921844399998E-5</v>
      </c>
      <c r="AO29" s="47">
        <v>2.72313267821E-5</v>
      </c>
      <c r="AP29" s="47">
        <v>2.78284851267E-5</v>
      </c>
      <c r="AQ29" s="47">
        <v>3.1301268129499998E-5</v>
      </c>
      <c r="AR29" s="47">
        <v>6.4246510830899995E-5</v>
      </c>
      <c r="AS29" s="47">
        <v>7.6886955503E-5</v>
      </c>
      <c r="AT29" s="47">
        <v>6.0806238272499997E-5</v>
      </c>
      <c r="AU29" s="47">
        <v>8.9498082519600002E-5</v>
      </c>
      <c r="AV29" s="47">
        <v>1.1148283477200001E-4</v>
      </c>
      <c r="AW29" s="47">
        <v>1.2051587782300001E-4</v>
      </c>
      <c r="AX29" s="47">
        <v>7.4360384458399998E-5</v>
      </c>
      <c r="AY29" s="47">
        <v>4.7445402111100003E-5</v>
      </c>
      <c r="AZ29" s="47">
        <v>3.03245860029E-5</v>
      </c>
      <c r="BA29" s="47">
        <v>9.6863520592900001E-4</v>
      </c>
      <c r="BB29" s="47">
        <v>7.3717103639199999E-4</v>
      </c>
      <c r="BC29" s="47">
        <v>3.6692026322999999E-4</v>
      </c>
      <c r="BD29" s="47">
        <v>3.29806339955E-4</v>
      </c>
      <c r="BE29" s="47">
        <v>2.1670253510900001E-4</v>
      </c>
      <c r="BF29" s="47">
        <v>2.0263023023699999E-4</v>
      </c>
      <c r="BG29" s="47">
        <v>1.3592112601399999E-4</v>
      </c>
      <c r="BH29" s="47">
        <v>9.1769783778099993E-5</v>
      </c>
      <c r="BI29" s="47">
        <v>4.7365587114299999E-5</v>
      </c>
      <c r="BJ29" s="47">
        <v>1.02841340824E-4</v>
      </c>
      <c r="BK29" s="47">
        <v>8.8804480578100005E-5</v>
      </c>
      <c r="BL29" s="47">
        <v>5.0099338543499999E-5</v>
      </c>
      <c r="BM29" s="47">
        <v>3.27191177295E-5</v>
      </c>
      <c r="BN29" s="47">
        <v>1.6915615879799999E-5</v>
      </c>
    </row>
    <row r="30" spans="1:66">
      <c r="A30" s="47">
        <v>2.5043023491300001E-5</v>
      </c>
      <c r="B30" s="47">
        <v>1.33170460584E-5</v>
      </c>
      <c r="C30" s="47">
        <v>2.9916380152500001E-5</v>
      </c>
      <c r="D30" s="47">
        <v>3.9634751364699998E-5</v>
      </c>
      <c r="E30" s="47">
        <v>1.9953110816499999E-5</v>
      </c>
      <c r="F30" s="47">
        <v>1.2637377204E-5</v>
      </c>
      <c r="G30" s="47">
        <v>-5.7887882726300004E-6</v>
      </c>
      <c r="H30" s="47">
        <v>-1.0904812663199999E-6</v>
      </c>
      <c r="I30" s="47">
        <v>-2.7670472893699999E-6</v>
      </c>
      <c r="J30" s="47">
        <v>6.6989960953400002E-5</v>
      </c>
      <c r="K30" s="47">
        <v>1.42695833361E-4</v>
      </c>
      <c r="L30" s="47">
        <v>1.11134621211E-4</v>
      </c>
      <c r="M30" s="47">
        <v>-7.9578808378700001E-5</v>
      </c>
      <c r="N30" s="47">
        <v>-2.13815095437E-5</v>
      </c>
      <c r="O30" s="47">
        <v>-1.8172406256899999E-5</v>
      </c>
      <c r="P30" s="47">
        <v>2.6011580253800001E-5</v>
      </c>
      <c r="Q30" s="47">
        <v>-2.29971836854E-5</v>
      </c>
      <c r="R30" s="47">
        <v>1.2057125314999999E-4</v>
      </c>
      <c r="S30" s="47">
        <v>5.4634581394E-5</v>
      </c>
      <c r="T30" s="47">
        <v>6.76086885729E-5</v>
      </c>
      <c r="U30" s="47">
        <v>7.7819970203099996E-5</v>
      </c>
      <c r="V30" s="47">
        <v>7.0530211578299996E-5</v>
      </c>
      <c r="W30" s="47">
        <v>5.4730241468299999E-5</v>
      </c>
      <c r="X30" s="47">
        <v>4.9109186811600003E-5</v>
      </c>
      <c r="Y30" s="47">
        <v>3.9300983003000001E-3</v>
      </c>
      <c r="Z30" s="47">
        <v>1.4569024899299999E-3</v>
      </c>
      <c r="AA30" s="47">
        <v>4.74703682932E-4</v>
      </c>
      <c r="AB30" s="47">
        <v>4.6702847919500001E-4</v>
      </c>
      <c r="AC30" s="47">
        <v>2.9840182284700001E-4</v>
      </c>
      <c r="AD30" s="47">
        <v>1.9941954206900001E-4</v>
      </c>
      <c r="AE30" s="47">
        <v>1.2243431738099999E-4</v>
      </c>
      <c r="AF30" s="47">
        <v>8.5149014442999999E-5</v>
      </c>
      <c r="AG30" s="47">
        <v>1.72552903346E-4</v>
      </c>
      <c r="AH30" s="47">
        <v>1.8042340412E-4</v>
      </c>
      <c r="AI30" s="47">
        <v>1.46974785901E-4</v>
      </c>
      <c r="AJ30" s="47">
        <v>6.2473420798899994E-5</v>
      </c>
      <c r="AK30" s="47">
        <v>4.6343031510100003E-5</v>
      </c>
      <c r="AL30" s="47">
        <v>2.53601719511E-5</v>
      </c>
      <c r="AM30" s="47">
        <v>-1.1256530797E-4</v>
      </c>
      <c r="AN30" s="47">
        <v>9.0044766800699997E-6</v>
      </c>
      <c r="AO30" s="47">
        <v>1.38149936695E-5</v>
      </c>
      <c r="AP30" s="47">
        <v>2.3311207804900001E-5</v>
      </c>
      <c r="AQ30" s="47">
        <v>3.0370306973799999E-5</v>
      </c>
      <c r="AR30" s="47">
        <v>6.0229779743000001E-5</v>
      </c>
      <c r="AS30" s="47">
        <v>7.3773631038899994E-5</v>
      </c>
      <c r="AT30" s="47">
        <v>5.9109763284199998E-5</v>
      </c>
      <c r="AU30" s="47">
        <v>1.4242447209499999E-4</v>
      </c>
      <c r="AV30" s="47">
        <v>1.7386624200999999E-4</v>
      </c>
      <c r="AW30" s="47">
        <v>1.7053142132199999E-4</v>
      </c>
      <c r="AX30" s="47">
        <v>1.12490897011E-4</v>
      </c>
      <c r="AY30" s="47">
        <v>8.1124131125699997E-5</v>
      </c>
      <c r="AZ30" s="47">
        <v>6.36104325102E-5</v>
      </c>
      <c r="BA30" s="47">
        <v>9.3205744323800004E-4</v>
      </c>
      <c r="BB30" s="47">
        <v>4.0685062372400002E-4</v>
      </c>
      <c r="BC30" s="47">
        <v>2.6435361212300001E-4</v>
      </c>
      <c r="BD30" s="47">
        <v>3.1365412904699999E-4</v>
      </c>
      <c r="BE30" s="47">
        <v>2.0555357585400001E-4</v>
      </c>
      <c r="BF30" s="47">
        <v>1.8294846754599999E-4</v>
      </c>
      <c r="BG30" s="47">
        <v>1.28564435816E-4</v>
      </c>
      <c r="BH30" s="47">
        <v>9.2097699824599999E-5</v>
      </c>
      <c r="BI30" s="47">
        <v>1.44207876627E-4</v>
      </c>
      <c r="BJ30" s="47">
        <v>2.01732332726E-4</v>
      </c>
      <c r="BK30" s="47">
        <v>1.7554771584099999E-4</v>
      </c>
      <c r="BL30" s="47">
        <v>9.5414072957299996E-5</v>
      </c>
      <c r="BM30" s="47">
        <v>6.0884730348099999E-5</v>
      </c>
      <c r="BN30" s="47">
        <v>4.2691446542299998E-5</v>
      </c>
    </row>
    <row r="31" spans="1:66">
      <c r="A31" s="47">
        <v>1.6351510269100001E-5</v>
      </c>
      <c r="B31" s="47">
        <v>6.3060330197600002E-6</v>
      </c>
      <c r="C31" s="47">
        <v>1.7633283679699999E-5</v>
      </c>
      <c r="D31" s="47">
        <v>2.6262158085399999E-5</v>
      </c>
      <c r="E31" s="47">
        <v>2.7888424580099998E-5</v>
      </c>
      <c r="F31" s="47">
        <v>-1.20710500134E-5</v>
      </c>
      <c r="G31" s="47">
        <v>-2.2745632284300001E-5</v>
      </c>
      <c r="H31" s="47">
        <v>-6.5510669141099998E-6</v>
      </c>
      <c r="I31" s="47">
        <v>-5.6349366918100001E-6</v>
      </c>
      <c r="J31" s="47">
        <v>3.4424928404099998E-5</v>
      </c>
      <c r="K31" s="47">
        <v>5.2517137194099999E-5</v>
      </c>
      <c r="L31" s="47">
        <v>2.6219437734400001E-5</v>
      </c>
      <c r="M31" s="47">
        <v>-7.8712257784400002E-5</v>
      </c>
      <c r="N31" s="47">
        <v>-3.2988580288500001E-5</v>
      </c>
      <c r="O31" s="47">
        <v>-2.7667214012199998E-5</v>
      </c>
      <c r="P31" s="47">
        <v>5.5177632274799996E-6</v>
      </c>
      <c r="Q31" s="47">
        <v>-1.8635545411400001E-5</v>
      </c>
      <c r="R31" s="47">
        <v>1.5892824039699999E-4</v>
      </c>
      <c r="S31" s="47">
        <v>3.6077491510100002E-5</v>
      </c>
      <c r="T31" s="47">
        <v>4.00678987999E-5</v>
      </c>
      <c r="U31" s="47">
        <v>4.4481937055600001E-5</v>
      </c>
      <c r="V31" s="47">
        <v>3.7959048994100003E-5</v>
      </c>
      <c r="W31" s="47">
        <v>3.1485985505599999E-5</v>
      </c>
      <c r="X31" s="47">
        <v>2.93532084434E-5</v>
      </c>
      <c r="Y31" s="47">
        <v>2.0536879956899999E-3</v>
      </c>
      <c r="Z31" s="47">
        <v>1.0241832840700001E-3</v>
      </c>
      <c r="AA31" s="47">
        <v>3.1936723744299997E-4</v>
      </c>
      <c r="AB31" s="47">
        <v>2.9840182284700001E-4</v>
      </c>
      <c r="AC31" s="47">
        <v>2.19717053973E-4</v>
      </c>
      <c r="AD31" s="47">
        <v>1.4106433885300001E-4</v>
      </c>
      <c r="AE31" s="47">
        <v>8.8126743703100002E-5</v>
      </c>
      <c r="AF31" s="47">
        <v>5.7863134349500002E-5</v>
      </c>
      <c r="AG31" s="47">
        <v>9.9281186332400004E-5</v>
      </c>
      <c r="AH31" s="47">
        <v>9.9358640139799993E-5</v>
      </c>
      <c r="AI31" s="47">
        <v>7.7752929555599998E-5</v>
      </c>
      <c r="AJ31" s="47">
        <v>2.0680530772999999E-5</v>
      </c>
      <c r="AK31" s="47">
        <v>1.5647814751099999E-5</v>
      </c>
      <c r="AL31" s="47">
        <v>2.7666525349500001E-6</v>
      </c>
      <c r="AM31" s="47">
        <v>-6.3032022249200003E-5</v>
      </c>
      <c r="AN31" s="47">
        <v>4.7253875125399999E-5</v>
      </c>
      <c r="AO31" s="47">
        <v>1.8971230382800001E-5</v>
      </c>
      <c r="AP31" s="47">
        <v>2.0366501578599998E-5</v>
      </c>
      <c r="AQ31" s="47">
        <v>2.45512882081E-5</v>
      </c>
      <c r="AR31" s="47">
        <v>4.3374356925000001E-5</v>
      </c>
      <c r="AS31" s="47">
        <v>5.27815705655E-5</v>
      </c>
      <c r="AT31" s="47">
        <v>4.2453241180699999E-5</v>
      </c>
      <c r="AU31" s="47">
        <v>6.6046006432499997E-5</v>
      </c>
      <c r="AV31" s="47">
        <v>8.3861441824399998E-5</v>
      </c>
      <c r="AW31" s="47">
        <v>9.2532027584400002E-5</v>
      </c>
      <c r="AX31" s="47">
        <v>5.91394081389E-5</v>
      </c>
      <c r="AY31" s="47">
        <v>4.0885835016700003E-5</v>
      </c>
      <c r="AZ31" s="47">
        <v>3.1745718426500001E-5</v>
      </c>
      <c r="BA31" s="47">
        <v>6.7187372535399998E-4</v>
      </c>
      <c r="BB31" s="47">
        <v>3.6977047028500002E-4</v>
      </c>
      <c r="BC31" s="47">
        <v>1.9783980493599999E-4</v>
      </c>
      <c r="BD31" s="47">
        <v>2.1060930205600001E-4</v>
      </c>
      <c r="BE31" s="47">
        <v>1.45907477274E-4</v>
      </c>
      <c r="BF31" s="47">
        <v>1.3038337989300001E-4</v>
      </c>
      <c r="BG31" s="47">
        <v>9.1062377896399994E-5</v>
      </c>
      <c r="BH31" s="47">
        <v>6.47573126392E-5</v>
      </c>
      <c r="BI31" s="47">
        <v>1.05906578199E-4</v>
      </c>
      <c r="BJ31" s="47">
        <v>1.3467616505899999E-4</v>
      </c>
      <c r="BK31" s="47">
        <v>1.16024861935E-4</v>
      </c>
      <c r="BL31" s="47">
        <v>5.9981569314899999E-5</v>
      </c>
      <c r="BM31" s="47">
        <v>3.7082964502600002E-5</v>
      </c>
      <c r="BN31" s="47">
        <v>2.51482011227E-5</v>
      </c>
    </row>
    <row r="32" spans="1:66">
      <c r="A32" s="47">
        <v>1.326573091E-5</v>
      </c>
      <c r="B32" s="47">
        <v>8.1100067082300004E-6</v>
      </c>
      <c r="C32" s="47">
        <v>1.6731729787899999E-5</v>
      </c>
      <c r="D32" s="47">
        <v>2.4505940134699999E-5</v>
      </c>
      <c r="E32" s="47">
        <v>1.30807938775E-5</v>
      </c>
      <c r="F32" s="47">
        <v>-1.09313201048E-5</v>
      </c>
      <c r="G32" s="47">
        <v>-1.3399650703800001E-5</v>
      </c>
      <c r="H32" s="47">
        <v>-4.1330231738400002E-6</v>
      </c>
      <c r="I32" s="47">
        <v>-3.7110365658500002E-6</v>
      </c>
      <c r="J32" s="47">
        <v>3.9938635887700002E-5</v>
      </c>
      <c r="K32" s="47">
        <v>5.4728436860299998E-5</v>
      </c>
      <c r="L32" s="47">
        <v>3.3849085322099999E-5</v>
      </c>
      <c r="M32" s="47">
        <v>-5.33483216966E-5</v>
      </c>
      <c r="N32" s="47">
        <v>-2.6458069610900001E-5</v>
      </c>
      <c r="O32" s="47">
        <v>-2.0000123833999998E-5</v>
      </c>
      <c r="P32" s="47">
        <v>9.8553364088000009E-7</v>
      </c>
      <c r="Q32" s="47">
        <v>-1.63318060337E-5</v>
      </c>
      <c r="R32" s="47">
        <v>1.1663124987699999E-4</v>
      </c>
      <c r="S32" s="47">
        <v>3.6054566548499999E-5</v>
      </c>
      <c r="T32" s="47">
        <v>4.12417913154E-5</v>
      </c>
      <c r="U32" s="47">
        <v>4.9763840710299999E-5</v>
      </c>
      <c r="V32" s="47">
        <v>4.1402880026600001E-5</v>
      </c>
      <c r="W32" s="47">
        <v>3.5140650478899998E-5</v>
      </c>
      <c r="X32" s="47">
        <v>3.1520935568799999E-5</v>
      </c>
      <c r="Y32" s="47">
        <v>9.1670558586999995E-4</v>
      </c>
      <c r="Z32" s="47">
        <v>7.0099092806399997E-4</v>
      </c>
      <c r="AA32" s="47">
        <v>2.1555276356700001E-4</v>
      </c>
      <c r="AB32" s="47">
        <v>1.9941954206900001E-4</v>
      </c>
      <c r="AC32" s="47">
        <v>1.4106433885300001E-4</v>
      </c>
      <c r="AD32" s="47">
        <v>1.06167736038E-4</v>
      </c>
      <c r="AE32" s="47">
        <v>6.5383462100399999E-5</v>
      </c>
      <c r="AF32" s="47">
        <v>4.6614521002199998E-5</v>
      </c>
      <c r="AG32" s="47">
        <v>6.9736544968099996E-5</v>
      </c>
      <c r="AH32" s="47">
        <v>8.3093528005499998E-5</v>
      </c>
      <c r="AI32" s="47">
        <v>6.5791320679799996E-5</v>
      </c>
      <c r="AJ32" s="47">
        <v>2.2453445303200001E-5</v>
      </c>
      <c r="AK32" s="47">
        <v>1.5700654003099999E-5</v>
      </c>
      <c r="AL32" s="47">
        <v>5.5543161336100004E-6</v>
      </c>
      <c r="AM32" s="47">
        <v>-2.5145374042600001E-5</v>
      </c>
      <c r="AN32" s="47">
        <v>2.0606635214799999E-5</v>
      </c>
      <c r="AO32" s="47">
        <v>1.02730659016E-5</v>
      </c>
      <c r="AP32" s="47">
        <v>1.25423948146E-5</v>
      </c>
      <c r="AQ32" s="47">
        <v>1.49781643583E-5</v>
      </c>
      <c r="AR32" s="47">
        <v>3.1850377491200003E-5</v>
      </c>
      <c r="AS32" s="47">
        <v>3.9987722434099998E-5</v>
      </c>
      <c r="AT32" s="47">
        <v>3.3135062135099997E-5</v>
      </c>
      <c r="AU32" s="47">
        <v>6.8638440501000005E-5</v>
      </c>
      <c r="AV32" s="47">
        <v>8.7456911378700004E-5</v>
      </c>
      <c r="AW32" s="47">
        <v>9.3531118700999994E-5</v>
      </c>
      <c r="AX32" s="47">
        <v>5.85622650543E-5</v>
      </c>
      <c r="AY32" s="47">
        <v>4.0854702616700002E-5</v>
      </c>
      <c r="AZ32" s="47">
        <v>2.9718562810300001E-5</v>
      </c>
      <c r="BA32" s="47">
        <v>3.0096468886699998E-4</v>
      </c>
      <c r="BB32" s="47">
        <v>1.2206391492799999E-4</v>
      </c>
      <c r="BC32" s="47">
        <v>1.05078611612E-4</v>
      </c>
      <c r="BD32" s="47">
        <v>1.3070237679400001E-4</v>
      </c>
      <c r="BE32" s="47">
        <v>9.0150227071200001E-5</v>
      </c>
      <c r="BF32" s="47">
        <v>9.1737666703699998E-5</v>
      </c>
      <c r="BG32" s="47">
        <v>6.3642818751699995E-5</v>
      </c>
      <c r="BH32" s="47">
        <v>4.4223058677299998E-5</v>
      </c>
      <c r="BI32" s="47">
        <v>1.0909507879099999E-4</v>
      </c>
      <c r="BJ32" s="47">
        <v>1.31470808687E-4</v>
      </c>
      <c r="BK32" s="47">
        <v>1.14290489202E-4</v>
      </c>
      <c r="BL32" s="47">
        <v>5.7415535037400003E-5</v>
      </c>
      <c r="BM32" s="47">
        <v>3.6795142199799999E-5</v>
      </c>
      <c r="BN32" s="47">
        <v>2.5833060568999999E-5</v>
      </c>
    </row>
    <row r="33" spans="1:66">
      <c r="A33" s="47">
        <v>8.5777219706199992E-6</v>
      </c>
      <c r="B33" s="47">
        <v>4.8615144781400003E-6</v>
      </c>
      <c r="C33" s="47">
        <v>1.0870292503500001E-5</v>
      </c>
      <c r="D33" s="47">
        <v>1.5233516855899999E-5</v>
      </c>
      <c r="E33" s="47">
        <v>5.0811083358800001E-6</v>
      </c>
      <c r="F33" s="47">
        <v>-8.6928395697899996E-6</v>
      </c>
      <c r="G33" s="47">
        <v>-1.4428067834100001E-5</v>
      </c>
      <c r="H33" s="47">
        <v>-2.0742077364999998E-6</v>
      </c>
      <c r="I33" s="47">
        <v>-1.62250187073E-6</v>
      </c>
      <c r="J33" s="47">
        <v>3.0586364280299998E-5</v>
      </c>
      <c r="K33" s="47">
        <v>2.7351282065000002E-5</v>
      </c>
      <c r="L33" s="47">
        <v>2.3671892152399998E-5</v>
      </c>
      <c r="M33" s="47">
        <v>-2.30305894803E-5</v>
      </c>
      <c r="N33" s="47">
        <v>-8.1840217933100002E-6</v>
      </c>
      <c r="O33" s="47">
        <v>-6.7695889860699997E-6</v>
      </c>
      <c r="P33" s="47">
        <v>5.2563302916799996E-6</v>
      </c>
      <c r="Q33" s="47">
        <v>-6.7117707885100004E-6</v>
      </c>
      <c r="R33" s="47">
        <v>7.6735511984899995E-5</v>
      </c>
      <c r="S33" s="47">
        <v>2.8441218987499999E-5</v>
      </c>
      <c r="T33" s="47">
        <v>3.2835949279199999E-5</v>
      </c>
      <c r="U33" s="47">
        <v>3.9773581710799999E-5</v>
      </c>
      <c r="V33" s="47">
        <v>3.2290905039799998E-5</v>
      </c>
      <c r="W33" s="47">
        <v>2.77059078157E-5</v>
      </c>
      <c r="X33" s="47">
        <v>2.47503598535E-5</v>
      </c>
      <c r="Y33" s="47">
        <v>6.4576830650599996E-4</v>
      </c>
      <c r="Z33" s="47">
        <v>4.46004743897E-4</v>
      </c>
      <c r="AA33" s="47">
        <v>1.33852357329E-4</v>
      </c>
      <c r="AB33" s="47">
        <v>1.2243431738099999E-4</v>
      </c>
      <c r="AC33" s="47">
        <v>8.8126743703100002E-5</v>
      </c>
      <c r="AD33" s="47">
        <v>6.5383462100399999E-5</v>
      </c>
      <c r="AE33" s="47">
        <v>4.3410591239400001E-5</v>
      </c>
      <c r="AF33" s="47">
        <v>3.1039277389799998E-5</v>
      </c>
      <c r="AG33" s="47">
        <v>5.5207522930100001E-5</v>
      </c>
      <c r="AH33" s="47">
        <v>6.4424715841099998E-5</v>
      </c>
      <c r="AI33" s="47">
        <v>5.1320263100200002E-5</v>
      </c>
      <c r="AJ33" s="47">
        <v>1.9523774944599999E-5</v>
      </c>
      <c r="AK33" s="47">
        <v>1.3045331893700001E-5</v>
      </c>
      <c r="AL33" s="47">
        <v>5.8784183293500002E-6</v>
      </c>
      <c r="AM33" s="47">
        <v>-2.35319445794E-5</v>
      </c>
      <c r="AN33" s="47">
        <v>2.0409259836E-5</v>
      </c>
      <c r="AO33" s="47">
        <v>8.3998788692900005E-6</v>
      </c>
      <c r="AP33" s="47">
        <v>8.4696411105900004E-6</v>
      </c>
      <c r="AQ33" s="47">
        <v>9.7861057397800004E-6</v>
      </c>
      <c r="AR33" s="47">
        <v>1.9446425129600001E-5</v>
      </c>
      <c r="AS33" s="47">
        <v>2.4902363877399999E-5</v>
      </c>
      <c r="AT33" s="47">
        <v>2.15418334676E-5</v>
      </c>
      <c r="AU33" s="47">
        <v>5.1769324061600002E-5</v>
      </c>
      <c r="AV33" s="47">
        <v>6.9934175530800003E-5</v>
      </c>
      <c r="AW33" s="47">
        <v>7.2529217702099996E-5</v>
      </c>
      <c r="AX33" s="47">
        <v>4.4065414593499999E-5</v>
      </c>
      <c r="AY33" s="47">
        <v>3.1070338115700002E-5</v>
      </c>
      <c r="AZ33" s="47">
        <v>2.2448230888999999E-5</v>
      </c>
      <c r="BA33" s="47">
        <v>3.5453434440799999E-4</v>
      </c>
      <c r="BB33" s="47">
        <v>1.5257882930999999E-4</v>
      </c>
      <c r="BC33" s="47">
        <v>8.4536180213700006E-5</v>
      </c>
      <c r="BD33" s="47">
        <v>8.6576064593900005E-5</v>
      </c>
      <c r="BE33" s="47">
        <v>6.0378567357399997E-5</v>
      </c>
      <c r="BF33" s="47">
        <v>5.7731025966599998E-5</v>
      </c>
      <c r="BG33" s="47">
        <v>4.1304951007099997E-5</v>
      </c>
      <c r="BH33" s="47">
        <v>3.0152230048200001E-5</v>
      </c>
      <c r="BI33" s="47">
        <v>8.2724382924999993E-5</v>
      </c>
      <c r="BJ33" s="47">
        <v>9.6737206518100004E-5</v>
      </c>
      <c r="BK33" s="47">
        <v>8.4329185663599998E-5</v>
      </c>
      <c r="BL33" s="47">
        <v>4.3127829437899998E-5</v>
      </c>
      <c r="BM33" s="47">
        <v>2.8806657048199999E-5</v>
      </c>
      <c r="BN33" s="47">
        <v>2.1259653715399999E-5</v>
      </c>
    </row>
    <row r="34" spans="1:66">
      <c r="A34" s="47">
        <v>6.5209045946100001E-6</v>
      </c>
      <c r="B34" s="47">
        <v>4.9767519438899997E-6</v>
      </c>
      <c r="C34" s="47">
        <v>1.06169899216E-5</v>
      </c>
      <c r="D34" s="47">
        <v>1.3068259007600001E-5</v>
      </c>
      <c r="E34" s="47">
        <v>6.1945864989900001E-6</v>
      </c>
      <c r="F34" s="47">
        <v>-5.281218626E-6</v>
      </c>
      <c r="G34" s="47">
        <v>-4.4672269209999999E-6</v>
      </c>
      <c r="H34" s="47">
        <v>-2.1460728493000002E-6</v>
      </c>
      <c r="I34" s="47">
        <v>-2.1307275176999998E-6</v>
      </c>
      <c r="J34" s="47">
        <v>2.5629392904399999E-5</v>
      </c>
      <c r="K34" s="47">
        <v>1.07580196572E-5</v>
      </c>
      <c r="L34" s="47">
        <v>2.4788212305600001E-5</v>
      </c>
      <c r="M34" s="47">
        <v>-6.9088115897499996E-6</v>
      </c>
      <c r="N34" s="47">
        <v>1.5330775747099999E-6</v>
      </c>
      <c r="O34" s="47">
        <v>3.80430016873E-6</v>
      </c>
      <c r="P34" s="47">
        <v>1.0319282428700001E-5</v>
      </c>
      <c r="Q34" s="47">
        <v>2.7613265415000002E-7</v>
      </c>
      <c r="R34" s="47">
        <v>3.9065469299499997E-5</v>
      </c>
      <c r="S34" s="47">
        <v>2.60775253111E-5</v>
      </c>
      <c r="T34" s="47">
        <v>3.0839447968199997E-5</v>
      </c>
      <c r="U34" s="47">
        <v>3.8160876417300001E-5</v>
      </c>
      <c r="V34" s="47">
        <v>3.2909380916000002E-5</v>
      </c>
      <c r="W34" s="47">
        <v>2.6888220693900001E-5</v>
      </c>
      <c r="X34" s="47">
        <v>2.3429032041399999E-5</v>
      </c>
      <c r="Y34" s="47">
        <v>4.7383012651899998E-4</v>
      </c>
      <c r="Z34" s="47">
        <v>3.0276553322300002E-4</v>
      </c>
      <c r="AA34" s="47">
        <v>9.3690714934000001E-5</v>
      </c>
      <c r="AB34" s="47">
        <v>8.5149014442999999E-5</v>
      </c>
      <c r="AC34" s="47">
        <v>5.7863134349500002E-5</v>
      </c>
      <c r="AD34" s="47">
        <v>4.6614521002199998E-5</v>
      </c>
      <c r="AE34" s="47">
        <v>3.1039277389799998E-5</v>
      </c>
      <c r="AF34" s="47">
        <v>2.66081185161E-5</v>
      </c>
      <c r="AG34" s="47">
        <v>6.07677111994E-5</v>
      </c>
      <c r="AH34" s="47">
        <v>7.1031848250499997E-5</v>
      </c>
      <c r="AI34" s="47">
        <v>5.5580480385399997E-5</v>
      </c>
      <c r="AJ34" s="47">
        <v>2.5902084501599999E-5</v>
      </c>
      <c r="AK34" s="47">
        <v>1.7551910895000001E-5</v>
      </c>
      <c r="AL34" s="47">
        <v>1.0975371678600001E-5</v>
      </c>
      <c r="AM34" s="47">
        <v>-1.3727931616700001E-5</v>
      </c>
      <c r="AN34" s="47">
        <v>2.1494728108999998E-6</v>
      </c>
      <c r="AO34" s="47">
        <v>3.2139965903500001E-6</v>
      </c>
      <c r="AP34" s="47">
        <v>4.7177952903799998E-6</v>
      </c>
      <c r="AQ34" s="47">
        <v>5.6509076844699998E-6</v>
      </c>
      <c r="AR34" s="47">
        <v>1.34756994507E-5</v>
      </c>
      <c r="AS34" s="47">
        <v>1.8614505717399999E-5</v>
      </c>
      <c r="AT34" s="47">
        <v>1.7432871698599999E-5</v>
      </c>
      <c r="AU34" s="47">
        <v>5.6807475162999998E-5</v>
      </c>
      <c r="AV34" s="47">
        <v>7.2133240624900005E-5</v>
      </c>
      <c r="AW34" s="47">
        <v>6.8514345570100003E-5</v>
      </c>
      <c r="AX34" s="47">
        <v>4.2418996231199998E-5</v>
      </c>
      <c r="AY34" s="47">
        <v>2.9668027206200002E-5</v>
      </c>
      <c r="AZ34" s="47">
        <v>2.1141939811099999E-5</v>
      </c>
      <c r="BA34" s="47">
        <v>2.2445093000299999E-4</v>
      </c>
      <c r="BB34" s="47">
        <v>3.6726213204399997E-5</v>
      </c>
      <c r="BC34" s="47">
        <v>4.1636822970000001E-5</v>
      </c>
      <c r="BD34" s="47">
        <v>5.5395070815600001E-5</v>
      </c>
      <c r="BE34" s="47">
        <v>3.78031881583E-5</v>
      </c>
      <c r="BF34" s="47">
        <v>4.0390232598599999E-5</v>
      </c>
      <c r="BG34" s="47">
        <v>3.1076361547999999E-5</v>
      </c>
      <c r="BH34" s="47">
        <v>2.45504122162E-5</v>
      </c>
      <c r="BI34" s="47">
        <v>7.9941971184800006E-5</v>
      </c>
      <c r="BJ34" s="47">
        <v>9.8901664344400002E-5</v>
      </c>
      <c r="BK34" s="47">
        <v>7.8745952009199994E-5</v>
      </c>
      <c r="BL34" s="47">
        <v>4.0801877900899998E-5</v>
      </c>
      <c r="BM34" s="47">
        <v>2.8611416319700001E-5</v>
      </c>
      <c r="BN34" s="47">
        <v>2.1988851918000002E-5</v>
      </c>
    </row>
    <row r="35" spans="1:66">
      <c r="A35" s="47">
        <v>2.6027210441100001E-5</v>
      </c>
      <c r="B35" s="47">
        <v>3.6132438905000003E-5</v>
      </c>
      <c r="C35" s="47">
        <v>5.8813592563900001E-5</v>
      </c>
      <c r="D35" s="47">
        <v>6.4113155079700005E-5</v>
      </c>
      <c r="E35" s="47">
        <v>1.14369704559E-4</v>
      </c>
      <c r="F35" s="47">
        <v>5.2147249379700003E-5</v>
      </c>
      <c r="G35" s="47">
        <v>-6.0820351087899999E-6</v>
      </c>
      <c r="H35" s="47">
        <v>6.5237863751699999E-6</v>
      </c>
      <c r="I35" s="47">
        <v>1.5044462278E-5</v>
      </c>
      <c r="J35" s="47">
        <v>1.7470735298599999E-4</v>
      </c>
      <c r="K35" s="47">
        <v>-1.7309284567499999E-5</v>
      </c>
      <c r="L35" s="47">
        <v>-1.04385574313E-4</v>
      </c>
      <c r="M35" s="47">
        <v>6.95530074718E-6</v>
      </c>
      <c r="N35" s="47">
        <v>4.3218311162099998E-5</v>
      </c>
      <c r="O35" s="47">
        <v>3.71865208041E-5</v>
      </c>
      <c r="P35" s="47">
        <v>3.65590744092E-5</v>
      </c>
      <c r="Q35" s="47">
        <v>7.6419160967299997E-6</v>
      </c>
      <c r="R35" s="47">
        <v>5.9705720285600002E-5</v>
      </c>
      <c r="S35" s="47">
        <v>2.0394331688700001E-4</v>
      </c>
      <c r="T35" s="47">
        <v>2.6431736002299999E-4</v>
      </c>
      <c r="U35" s="47">
        <v>3.3346701927200001E-4</v>
      </c>
      <c r="V35" s="47">
        <v>2.8114306265800002E-4</v>
      </c>
      <c r="W35" s="47">
        <v>2.2250783397600001E-4</v>
      </c>
      <c r="X35" s="47">
        <v>1.9688259594399999E-4</v>
      </c>
      <c r="Y35" s="47">
        <v>4.4661799793000003E-3</v>
      </c>
      <c r="Z35" s="47">
        <v>4.1529278061700002E-4</v>
      </c>
      <c r="AA35" s="47">
        <v>1.0459459028700001E-4</v>
      </c>
      <c r="AB35" s="47">
        <v>1.72552903346E-4</v>
      </c>
      <c r="AC35" s="47">
        <v>9.9281186332400004E-5</v>
      </c>
      <c r="AD35" s="47">
        <v>6.9736544968099996E-5</v>
      </c>
      <c r="AE35" s="47">
        <v>5.5207522930100001E-5</v>
      </c>
      <c r="AF35" s="47">
        <v>6.07677111994E-5</v>
      </c>
      <c r="AG35" s="47">
        <v>7.5648540844500004E-4</v>
      </c>
      <c r="AH35" s="47">
        <v>7.6127268169399998E-4</v>
      </c>
      <c r="AI35" s="47">
        <v>6.02824150925E-4</v>
      </c>
      <c r="AJ35" s="47">
        <v>3.3818364104700003E-4</v>
      </c>
      <c r="AK35" s="47">
        <v>2.4174766620099999E-4</v>
      </c>
      <c r="AL35" s="47">
        <v>1.8835944381400001E-4</v>
      </c>
      <c r="AM35" s="47">
        <v>-8.7051177560799997E-5</v>
      </c>
      <c r="AN35" s="47">
        <v>-7.5140636213999996E-5</v>
      </c>
      <c r="AO35" s="47">
        <v>-1.88465193086E-5</v>
      </c>
      <c r="AP35" s="47">
        <v>-1.4376076843299999E-6</v>
      </c>
      <c r="AQ35" s="47">
        <v>1.0312643952E-5</v>
      </c>
      <c r="AR35" s="47">
        <v>1.93540093996E-5</v>
      </c>
      <c r="AS35" s="47">
        <v>3.25219428493E-5</v>
      </c>
      <c r="AT35" s="47">
        <v>3.7225679847800001E-5</v>
      </c>
      <c r="AU35" s="47">
        <v>5.6615718618200001E-4</v>
      </c>
      <c r="AV35" s="47">
        <v>6.5895418193000004E-4</v>
      </c>
      <c r="AW35" s="47">
        <v>5.4253436355299999E-4</v>
      </c>
      <c r="AX35" s="47">
        <v>3.3827782381600001E-4</v>
      </c>
      <c r="AY35" s="47">
        <v>2.57058246922E-4</v>
      </c>
      <c r="AZ35" s="47">
        <v>2.1521247679600001E-4</v>
      </c>
      <c r="BA35" s="47">
        <v>5.9147047951600001E-4</v>
      </c>
      <c r="BB35" s="47">
        <v>8.7956868605000002E-5</v>
      </c>
      <c r="BC35" s="47">
        <v>5.2317507958699999E-5</v>
      </c>
      <c r="BD35" s="47">
        <v>1.14929466948E-4</v>
      </c>
      <c r="BE35" s="47">
        <v>7.2602988189699998E-5</v>
      </c>
      <c r="BF35" s="47">
        <v>7.5594987588699996E-5</v>
      </c>
      <c r="BG35" s="47">
        <v>7.5555132560399998E-5</v>
      </c>
      <c r="BH35" s="47">
        <v>7.5567032300800005E-5</v>
      </c>
      <c r="BI35" s="47">
        <v>7.3746229520399995E-4</v>
      </c>
      <c r="BJ35" s="47">
        <v>8.4892417613000005E-4</v>
      </c>
      <c r="BK35" s="47">
        <v>6.3437955122599998E-4</v>
      </c>
      <c r="BL35" s="47">
        <v>3.2289054784499999E-4</v>
      </c>
      <c r="BM35" s="47">
        <v>2.2255776857699999E-4</v>
      </c>
      <c r="BN35" s="47">
        <v>1.8071843598499999E-4</v>
      </c>
    </row>
    <row r="36" spans="1:66">
      <c r="A36" s="47">
        <v>2.7708313581200001E-5</v>
      </c>
      <c r="B36" s="47">
        <v>3.8037834298999998E-5</v>
      </c>
      <c r="C36" s="47">
        <v>6.1843960548999997E-5</v>
      </c>
      <c r="D36" s="47">
        <v>6.4384542436699994E-5</v>
      </c>
      <c r="E36" s="47">
        <v>9.1106037666600001E-5</v>
      </c>
      <c r="F36" s="47">
        <v>4.87396195468E-5</v>
      </c>
      <c r="G36" s="47">
        <v>-1.04691819252E-5</v>
      </c>
      <c r="H36" s="47">
        <v>1.20112168526E-5</v>
      </c>
      <c r="I36" s="47">
        <v>2.0591227888999998E-5</v>
      </c>
      <c r="J36" s="47">
        <v>1.8159154054999999E-4</v>
      </c>
      <c r="K36" s="47">
        <v>-1.9318119138799998E-5</v>
      </c>
      <c r="L36" s="47">
        <v>-6.7317549654700003E-5</v>
      </c>
      <c r="M36" s="47">
        <v>2.3406946225400001E-5</v>
      </c>
      <c r="N36" s="47">
        <v>6.1396588259199998E-5</v>
      </c>
      <c r="O36" s="47">
        <v>5.0848306013E-5</v>
      </c>
      <c r="P36" s="47">
        <v>4.4185402879300001E-5</v>
      </c>
      <c r="Q36" s="47">
        <v>1.1785368493700001E-5</v>
      </c>
      <c r="R36" s="47">
        <v>4.5214826705900003E-5</v>
      </c>
      <c r="S36" s="47">
        <v>2.1873780684100001E-4</v>
      </c>
      <c r="T36" s="47">
        <v>2.8758669023500001E-4</v>
      </c>
      <c r="U36" s="47">
        <v>3.70100549057E-4</v>
      </c>
      <c r="V36" s="47">
        <v>3.1406627980299999E-4</v>
      </c>
      <c r="W36" s="47">
        <v>2.5260027374700002E-4</v>
      </c>
      <c r="X36" s="47">
        <v>2.23005806582E-4</v>
      </c>
      <c r="Y36" s="47">
        <v>4.3334209790800004E-3</v>
      </c>
      <c r="Z36" s="47">
        <v>4.1589962608799998E-4</v>
      </c>
      <c r="AA36" s="47">
        <v>1.1777748048000001E-4</v>
      </c>
      <c r="AB36" s="47">
        <v>1.8042340412E-4</v>
      </c>
      <c r="AC36" s="47">
        <v>9.9358640139799993E-5</v>
      </c>
      <c r="AD36" s="47">
        <v>8.3093528005499998E-5</v>
      </c>
      <c r="AE36" s="47">
        <v>6.4424715841099998E-5</v>
      </c>
      <c r="AF36" s="47">
        <v>7.1031848250499997E-5</v>
      </c>
      <c r="AG36" s="47">
        <v>7.6127268169399998E-4</v>
      </c>
      <c r="AH36" s="47">
        <v>8.1001985157500001E-4</v>
      </c>
      <c r="AI36" s="47">
        <v>6.5281404833799999E-4</v>
      </c>
      <c r="AJ36" s="47">
        <v>3.80544487002E-4</v>
      </c>
      <c r="AK36" s="47">
        <v>2.7738975746000001E-4</v>
      </c>
      <c r="AL36" s="47">
        <v>2.2166838042499999E-4</v>
      </c>
      <c r="AM36" s="47">
        <v>-8.0485922448800002E-5</v>
      </c>
      <c r="AN36" s="47">
        <v>-8.0295894027099994E-5</v>
      </c>
      <c r="AO36" s="47">
        <v>-1.88361265792E-5</v>
      </c>
      <c r="AP36" s="47">
        <v>-1.3281220862399999E-6</v>
      </c>
      <c r="AQ36" s="47">
        <v>1.0422757738099999E-5</v>
      </c>
      <c r="AR36" s="47">
        <v>2.38427958009E-5</v>
      </c>
      <c r="AS36" s="47">
        <v>4.2207149233799998E-5</v>
      </c>
      <c r="AT36" s="47">
        <v>4.9169025756999997E-5</v>
      </c>
      <c r="AU36" s="47">
        <v>6.2248287164999995E-4</v>
      </c>
      <c r="AV36" s="47">
        <v>7.4263952809099998E-4</v>
      </c>
      <c r="AW36" s="47">
        <v>6.2496406481099998E-4</v>
      </c>
      <c r="AX36" s="47">
        <v>3.9456215603599998E-4</v>
      </c>
      <c r="AY36" s="47">
        <v>2.97859233115E-4</v>
      </c>
      <c r="AZ36" s="47">
        <v>2.4339112388200001E-4</v>
      </c>
      <c r="BA36" s="47">
        <v>5.8014707957999997E-4</v>
      </c>
      <c r="BB36" s="47">
        <v>2.8864200077400001E-5</v>
      </c>
      <c r="BC36" s="47">
        <v>4.3985553418799997E-5</v>
      </c>
      <c r="BD36" s="47">
        <v>1.1292184060000001E-4</v>
      </c>
      <c r="BE36" s="47">
        <v>7.6557708577600002E-5</v>
      </c>
      <c r="BF36" s="47">
        <v>8.7721855612700003E-5</v>
      </c>
      <c r="BG36" s="47">
        <v>8.5391091130299998E-5</v>
      </c>
      <c r="BH36" s="47">
        <v>8.3446994225600001E-5</v>
      </c>
      <c r="BI36" s="47">
        <v>7.5714603836100002E-4</v>
      </c>
      <c r="BJ36" s="47">
        <v>8.8764741965100002E-4</v>
      </c>
      <c r="BK36" s="47">
        <v>6.8324990440399996E-4</v>
      </c>
      <c r="BL36" s="47">
        <v>3.5391653303200001E-4</v>
      </c>
      <c r="BM36" s="47">
        <v>2.4878274286299997E-4</v>
      </c>
      <c r="BN36" s="47">
        <v>2.0309117910100001E-4</v>
      </c>
    </row>
    <row r="37" spans="1:66">
      <c r="A37" s="47">
        <v>2.7310409251499999E-5</v>
      </c>
      <c r="B37" s="47">
        <v>3.3707916182900001E-5</v>
      </c>
      <c r="C37" s="47">
        <v>5.1883203570700001E-5</v>
      </c>
      <c r="D37" s="47">
        <v>5.41124356923E-5</v>
      </c>
      <c r="E37" s="47">
        <v>7.5841383661600002E-5</v>
      </c>
      <c r="F37" s="47">
        <v>3.6690910455000003E-5</v>
      </c>
      <c r="G37" s="47">
        <v>-1.1657276387200001E-5</v>
      </c>
      <c r="H37" s="47">
        <v>1.63159198168E-5</v>
      </c>
      <c r="I37" s="47">
        <v>2.4166594571000001E-5</v>
      </c>
      <c r="J37" s="47">
        <v>1.4386533976100001E-4</v>
      </c>
      <c r="K37" s="47">
        <v>-1.73682338171E-5</v>
      </c>
      <c r="L37" s="47">
        <v>-4.8523026386000003E-5</v>
      </c>
      <c r="M37" s="47">
        <v>1.7762504571799998E-5</v>
      </c>
      <c r="N37" s="47">
        <v>5.2588529947299997E-5</v>
      </c>
      <c r="O37" s="47">
        <v>3.4646704006399997E-5</v>
      </c>
      <c r="P37" s="47">
        <v>2.3317017374599999E-5</v>
      </c>
      <c r="Q37" s="47">
        <v>3.88062563875E-6</v>
      </c>
      <c r="R37" s="47">
        <v>-1.6561597518700001E-5</v>
      </c>
      <c r="S37" s="47">
        <v>1.78906678455E-4</v>
      </c>
      <c r="T37" s="47">
        <v>2.40521165669E-4</v>
      </c>
      <c r="U37" s="47">
        <v>3.14026234492E-4</v>
      </c>
      <c r="V37" s="47">
        <v>2.6345811918999999E-4</v>
      </c>
      <c r="W37" s="47">
        <v>2.1112474236899999E-4</v>
      </c>
      <c r="X37" s="47">
        <v>1.86399086713E-4</v>
      </c>
      <c r="Y37" s="47">
        <v>3.5793549833300002E-3</v>
      </c>
      <c r="Z37" s="47">
        <v>2.91671916989E-4</v>
      </c>
      <c r="AA37" s="47">
        <v>8.5998281332800005E-5</v>
      </c>
      <c r="AB37" s="47">
        <v>1.46974785901E-4</v>
      </c>
      <c r="AC37" s="47">
        <v>7.7752929555599998E-5</v>
      </c>
      <c r="AD37" s="47">
        <v>6.5791320679799996E-5</v>
      </c>
      <c r="AE37" s="47">
        <v>5.1320263100200002E-5</v>
      </c>
      <c r="AF37" s="47">
        <v>5.5580480385399997E-5</v>
      </c>
      <c r="AG37" s="47">
        <v>6.02824150925E-4</v>
      </c>
      <c r="AH37" s="47">
        <v>6.5281404833799999E-4</v>
      </c>
      <c r="AI37" s="47">
        <v>5.4443259132200001E-4</v>
      </c>
      <c r="AJ37" s="47">
        <v>3.32087159506E-4</v>
      </c>
      <c r="AK37" s="47">
        <v>2.4463722006799998E-4</v>
      </c>
      <c r="AL37" s="47">
        <v>2.0076812717100001E-4</v>
      </c>
      <c r="AM37" s="47">
        <v>-6.1594315210900005E-5</v>
      </c>
      <c r="AN37" s="47">
        <v>-5.4620490400899999E-5</v>
      </c>
      <c r="AO37" s="47">
        <v>-1.32682378473E-5</v>
      </c>
      <c r="AP37" s="47">
        <v>5.8086598595700001E-8</v>
      </c>
      <c r="AQ37" s="47">
        <v>9.1485409039700005E-6</v>
      </c>
      <c r="AR37" s="47">
        <v>2.0215603563799998E-5</v>
      </c>
      <c r="AS37" s="47">
        <v>3.73485256079E-5</v>
      </c>
      <c r="AT37" s="47">
        <v>4.4413950978800003E-5</v>
      </c>
      <c r="AU37" s="47">
        <v>5.2099203846699995E-4</v>
      </c>
      <c r="AV37" s="47">
        <v>6.2853312010100002E-4</v>
      </c>
      <c r="AW37" s="47">
        <v>5.3690246412499995E-4</v>
      </c>
      <c r="AX37" s="47">
        <v>3.4277983204099999E-4</v>
      </c>
      <c r="AY37" s="47">
        <v>2.5981282597099998E-4</v>
      </c>
      <c r="AZ37" s="47">
        <v>2.1224044055699999E-4</v>
      </c>
      <c r="BA37" s="47">
        <v>4.9925413754900005E-4</v>
      </c>
      <c r="BB37" s="47">
        <v>9.51697357957E-5</v>
      </c>
      <c r="BC37" s="47">
        <v>5.0081808884400003E-5</v>
      </c>
      <c r="BD37" s="47">
        <v>1.00691711024E-4</v>
      </c>
      <c r="BE37" s="47">
        <v>7.2781136103299997E-5</v>
      </c>
      <c r="BF37" s="47">
        <v>7.5226072684700002E-5</v>
      </c>
      <c r="BG37" s="47">
        <v>7.25377181679E-5</v>
      </c>
      <c r="BH37" s="47">
        <v>7.0637422198500005E-5</v>
      </c>
      <c r="BI37" s="47">
        <v>6.1030764667199995E-4</v>
      </c>
      <c r="BJ37" s="47">
        <v>7.2208759231500005E-4</v>
      </c>
      <c r="BK37" s="47">
        <v>5.7134432321700004E-4</v>
      </c>
      <c r="BL37" s="47">
        <v>2.97838410925E-4</v>
      </c>
      <c r="BM37" s="47">
        <v>2.0831371909799999E-4</v>
      </c>
      <c r="BN37" s="47">
        <v>1.6949728980600001E-4</v>
      </c>
    </row>
    <row r="38" spans="1:66">
      <c r="A38" s="47">
        <v>1.6948287471999999E-5</v>
      </c>
      <c r="B38" s="47">
        <v>2.2231197223199999E-5</v>
      </c>
      <c r="C38" s="47">
        <v>2.9745932214199999E-5</v>
      </c>
      <c r="D38" s="47">
        <v>2.8976385283500001E-5</v>
      </c>
      <c r="E38" s="47">
        <v>3.9054063302800003E-5</v>
      </c>
      <c r="F38" s="47">
        <v>1.8886039202399998E-5</v>
      </c>
      <c r="G38" s="47">
        <v>3.28720026105E-6</v>
      </c>
      <c r="H38" s="47">
        <v>1.52210460117E-5</v>
      </c>
      <c r="I38" s="47">
        <v>1.9784607557499999E-5</v>
      </c>
      <c r="J38" s="47">
        <v>6.9788370839299999E-5</v>
      </c>
      <c r="K38" s="47">
        <v>-2.3153035206500001E-5</v>
      </c>
      <c r="L38" s="47">
        <v>-2.3904952642699999E-5</v>
      </c>
      <c r="M38" s="47">
        <v>2.44118977718E-5</v>
      </c>
      <c r="N38" s="47">
        <v>4.3055738102600002E-5</v>
      </c>
      <c r="O38" s="47">
        <v>2.6560324988900001E-5</v>
      </c>
      <c r="P38" s="47">
        <v>7.7209052484000008E-6</v>
      </c>
      <c r="Q38" s="47">
        <v>2.4580189085199999E-6</v>
      </c>
      <c r="R38" s="47">
        <v>-9.3671610965900001E-5</v>
      </c>
      <c r="S38" s="47">
        <v>1.00857861345E-4</v>
      </c>
      <c r="T38" s="47">
        <v>1.42179361779E-4</v>
      </c>
      <c r="U38" s="47">
        <v>1.9327648967600001E-4</v>
      </c>
      <c r="V38" s="47">
        <v>1.6403056476200001E-4</v>
      </c>
      <c r="W38" s="47">
        <v>1.31821998177E-4</v>
      </c>
      <c r="X38" s="47">
        <v>1.1609354133899999E-4</v>
      </c>
      <c r="Y38" s="47">
        <v>1.96558335608E-3</v>
      </c>
      <c r="Z38" s="47">
        <v>3.3366340194100001E-5</v>
      </c>
      <c r="AA38" s="47">
        <v>1.3145155621700001E-5</v>
      </c>
      <c r="AB38" s="47">
        <v>6.2473420798899994E-5</v>
      </c>
      <c r="AC38" s="47">
        <v>2.0680530772999999E-5</v>
      </c>
      <c r="AD38" s="47">
        <v>2.2453445303200001E-5</v>
      </c>
      <c r="AE38" s="47">
        <v>1.9523774944599999E-5</v>
      </c>
      <c r="AF38" s="47">
        <v>2.5902084501599999E-5</v>
      </c>
      <c r="AG38" s="47">
        <v>3.3818364104700003E-4</v>
      </c>
      <c r="AH38" s="47">
        <v>3.80544487002E-4</v>
      </c>
      <c r="AI38" s="47">
        <v>3.32087159506E-4</v>
      </c>
      <c r="AJ38" s="47">
        <v>2.24031084198E-4</v>
      </c>
      <c r="AK38" s="47">
        <v>1.70203191072E-4</v>
      </c>
      <c r="AL38" s="47">
        <v>1.4568911818099999E-4</v>
      </c>
      <c r="AM38" s="47">
        <v>-3.1363857631700003E-5</v>
      </c>
      <c r="AN38" s="47">
        <v>-2.98897113481E-5</v>
      </c>
      <c r="AO38" s="47">
        <v>-8.25423670032E-6</v>
      </c>
      <c r="AP38" s="47">
        <v>-8.56340599687E-7</v>
      </c>
      <c r="AQ38" s="47">
        <v>3.53352312272E-6</v>
      </c>
      <c r="AR38" s="47">
        <v>8.3367167316300002E-6</v>
      </c>
      <c r="AS38" s="47">
        <v>2.0201552795100001E-5</v>
      </c>
      <c r="AT38" s="47">
        <v>2.6999937505399999E-5</v>
      </c>
      <c r="AU38" s="47">
        <v>3.2038441964900001E-4</v>
      </c>
      <c r="AV38" s="47">
        <v>3.9570181668300002E-4</v>
      </c>
      <c r="AW38" s="47">
        <v>3.4116384453300002E-4</v>
      </c>
      <c r="AX38" s="47">
        <v>2.2584547334100001E-4</v>
      </c>
      <c r="AY38" s="47">
        <v>1.7304050849000001E-4</v>
      </c>
      <c r="AZ38" s="47">
        <v>1.41854804051E-4</v>
      </c>
      <c r="BA38" s="47">
        <v>2.1957271895699999E-4</v>
      </c>
      <c r="BB38" s="47">
        <v>6.79775615669E-5</v>
      </c>
      <c r="BC38" s="47">
        <v>2.0243178498799999E-5</v>
      </c>
      <c r="BD38" s="47">
        <v>4.9081300902999999E-5</v>
      </c>
      <c r="BE38" s="47">
        <v>3.8490421642700002E-5</v>
      </c>
      <c r="BF38" s="47">
        <v>3.4333944259800001E-5</v>
      </c>
      <c r="BG38" s="47">
        <v>3.67973948424E-5</v>
      </c>
      <c r="BH38" s="47">
        <v>3.8510344787600003E-5</v>
      </c>
      <c r="BI38" s="47">
        <v>3.3435938206899997E-4</v>
      </c>
      <c r="BJ38" s="47">
        <v>4.0848613004299997E-4</v>
      </c>
      <c r="BK38" s="47">
        <v>3.34629792742E-4</v>
      </c>
      <c r="BL38" s="47">
        <v>1.8115534975100001E-4</v>
      </c>
      <c r="BM38" s="47">
        <v>1.2834870160100001E-4</v>
      </c>
      <c r="BN38" s="47">
        <v>1.0611249589000001E-4</v>
      </c>
    </row>
    <row r="39" spans="1:66">
      <c r="A39" s="47">
        <v>8.6271200928100002E-6</v>
      </c>
      <c r="B39" s="47">
        <v>1.48249692246E-5</v>
      </c>
      <c r="C39" s="47">
        <v>1.7625688161099998E-5</v>
      </c>
      <c r="D39" s="47">
        <v>1.6268762360399998E-5</v>
      </c>
      <c r="E39" s="47">
        <v>2.2845562389200001E-5</v>
      </c>
      <c r="F39" s="47">
        <v>1.06433862689E-5</v>
      </c>
      <c r="G39" s="47">
        <v>2.7751596795400001E-6</v>
      </c>
      <c r="H39" s="47">
        <v>9.9379296068400002E-6</v>
      </c>
      <c r="I39" s="47">
        <v>1.33496246468E-5</v>
      </c>
      <c r="J39" s="47">
        <v>4.1781130730799997E-5</v>
      </c>
      <c r="K39" s="47">
        <v>-1.53672758918E-5</v>
      </c>
      <c r="L39" s="47">
        <v>-2.2046650443100001E-5</v>
      </c>
      <c r="M39" s="47">
        <v>1.2289041217699999E-5</v>
      </c>
      <c r="N39" s="47">
        <v>2.7636304058100002E-5</v>
      </c>
      <c r="O39" s="47">
        <v>1.7251363438899999E-5</v>
      </c>
      <c r="P39" s="47">
        <v>1.0792791165100001E-6</v>
      </c>
      <c r="Q39" s="47">
        <v>-2.6727210761300001E-6</v>
      </c>
      <c r="R39" s="47">
        <v>-6.6864355959099994E-5</v>
      </c>
      <c r="S39" s="47">
        <v>6.5505122135600004E-5</v>
      </c>
      <c r="T39" s="47">
        <v>9.5884953767900005E-5</v>
      </c>
      <c r="U39" s="47">
        <v>1.3547007209399999E-4</v>
      </c>
      <c r="V39" s="47">
        <v>1.1737733374E-4</v>
      </c>
      <c r="W39" s="47">
        <v>9.4867849618300001E-5</v>
      </c>
      <c r="X39" s="47">
        <v>8.4088737663600002E-5</v>
      </c>
      <c r="Y39" s="47">
        <v>1.40714971046E-3</v>
      </c>
      <c r="Z39" s="47">
        <v>-1.29835376676E-5</v>
      </c>
      <c r="AA39" s="47">
        <v>9.1185784742500008E-6</v>
      </c>
      <c r="AB39" s="47">
        <v>4.6343031510100003E-5</v>
      </c>
      <c r="AC39" s="47">
        <v>1.5647814751099999E-5</v>
      </c>
      <c r="AD39" s="47">
        <v>1.5700654003099999E-5</v>
      </c>
      <c r="AE39" s="47">
        <v>1.3045331893700001E-5</v>
      </c>
      <c r="AF39" s="47">
        <v>1.7551910895000001E-5</v>
      </c>
      <c r="AG39" s="47">
        <v>2.4174766620099999E-4</v>
      </c>
      <c r="AH39" s="47">
        <v>2.7738975746000001E-4</v>
      </c>
      <c r="AI39" s="47">
        <v>2.4463722006799998E-4</v>
      </c>
      <c r="AJ39" s="47">
        <v>1.70203191072E-4</v>
      </c>
      <c r="AK39" s="47">
        <v>1.35205419167E-4</v>
      </c>
      <c r="AL39" s="47">
        <v>1.15495650742E-4</v>
      </c>
      <c r="AM39" s="47">
        <v>-2.24247013249E-5</v>
      </c>
      <c r="AN39" s="47">
        <v>-1.1944269087199999E-5</v>
      </c>
      <c r="AO39" s="47">
        <v>-3.5434362897300002E-6</v>
      </c>
      <c r="AP39" s="47">
        <v>5.5085528033999995E-7</v>
      </c>
      <c r="AQ39" s="47">
        <v>3.7073070618800001E-6</v>
      </c>
      <c r="AR39" s="47">
        <v>7.1880168038399997E-6</v>
      </c>
      <c r="AS39" s="47">
        <v>1.6526805141100001E-5</v>
      </c>
      <c r="AT39" s="47">
        <v>2.1571207294799999E-5</v>
      </c>
      <c r="AU39" s="47">
        <v>2.3384110495799999E-4</v>
      </c>
      <c r="AV39" s="47">
        <v>2.9241001786699998E-4</v>
      </c>
      <c r="AW39" s="47">
        <v>2.5489112299E-4</v>
      </c>
      <c r="AX39" s="47">
        <v>1.72930966504E-4</v>
      </c>
      <c r="AY39" s="47">
        <v>1.3332977130200001E-4</v>
      </c>
      <c r="AZ39" s="47">
        <v>1.10709053834E-4</v>
      </c>
      <c r="BA39" s="47">
        <v>1.4910857929400001E-4</v>
      </c>
      <c r="BB39" s="47">
        <v>6.6865051899200003E-5</v>
      </c>
      <c r="BC39" s="47">
        <v>2.27498283198E-5</v>
      </c>
      <c r="BD39" s="47">
        <v>3.9898582215600001E-5</v>
      </c>
      <c r="BE39" s="47">
        <v>3.1240980137100001E-5</v>
      </c>
      <c r="BF39" s="47">
        <v>2.7249826929899999E-5</v>
      </c>
      <c r="BG39" s="47">
        <v>2.7924123603300001E-5</v>
      </c>
      <c r="BH39" s="47">
        <v>2.8453281186000001E-5</v>
      </c>
      <c r="BI39" s="47">
        <v>2.2718902719599999E-4</v>
      </c>
      <c r="BJ39" s="47">
        <v>2.8481544720999999E-4</v>
      </c>
      <c r="BK39" s="47">
        <v>2.33593949702E-4</v>
      </c>
      <c r="BL39" s="47">
        <v>1.2936638538499999E-4</v>
      </c>
      <c r="BM39" s="47">
        <v>9.2834687175600005E-5</v>
      </c>
      <c r="BN39" s="47">
        <v>7.7253273880699994E-5</v>
      </c>
    </row>
    <row r="40" spans="1:66">
      <c r="A40" s="47">
        <v>6.1553600486000003E-6</v>
      </c>
      <c r="B40" s="47">
        <v>1.16385139964E-5</v>
      </c>
      <c r="C40" s="47">
        <v>1.31502024196E-5</v>
      </c>
      <c r="D40" s="47">
        <v>1.0921643854100001E-5</v>
      </c>
      <c r="E40" s="47">
        <v>1.4997314767599999E-5</v>
      </c>
      <c r="F40" s="47">
        <v>8.5697827672300003E-6</v>
      </c>
      <c r="G40" s="47">
        <v>-4.8906114704600002E-7</v>
      </c>
      <c r="H40" s="47">
        <v>8.4558628954400001E-6</v>
      </c>
      <c r="I40" s="47">
        <v>1.14692563072E-5</v>
      </c>
      <c r="J40" s="47">
        <v>2.4472046423900001E-5</v>
      </c>
      <c r="K40" s="47">
        <v>-2.0728983200699999E-5</v>
      </c>
      <c r="L40" s="47">
        <v>-2.1138422460700001E-5</v>
      </c>
      <c r="M40" s="47">
        <v>1.2536795127199999E-5</v>
      </c>
      <c r="N40" s="47">
        <v>2.48322622098E-5</v>
      </c>
      <c r="O40" s="47">
        <v>1.38251516055E-5</v>
      </c>
      <c r="P40" s="47">
        <v>-2.19229481116E-6</v>
      </c>
      <c r="Q40" s="47">
        <v>-2.3779888913900002E-6</v>
      </c>
      <c r="R40" s="47">
        <v>-7.1987434126700002E-5</v>
      </c>
      <c r="S40" s="47">
        <v>4.9961142627100002E-5</v>
      </c>
      <c r="T40" s="47">
        <v>7.5896487827000007E-5</v>
      </c>
      <c r="U40" s="47">
        <v>1.10914017129E-4</v>
      </c>
      <c r="V40" s="47">
        <v>9.7135467554400006E-5</v>
      </c>
      <c r="W40" s="47">
        <v>7.9285638281099995E-5</v>
      </c>
      <c r="X40" s="47">
        <v>7.0547576503100006E-5</v>
      </c>
      <c r="Y40" s="47">
        <v>1.1024261638699999E-3</v>
      </c>
      <c r="Z40" s="47">
        <v>-6.8181909089499998E-5</v>
      </c>
      <c r="AA40" s="47">
        <v>-7.2803409442299998E-6</v>
      </c>
      <c r="AB40" s="47">
        <v>2.53601719511E-5</v>
      </c>
      <c r="AC40" s="47">
        <v>2.7666525349500001E-6</v>
      </c>
      <c r="AD40" s="47">
        <v>5.5543161336100004E-6</v>
      </c>
      <c r="AE40" s="47">
        <v>5.8784183293500002E-6</v>
      </c>
      <c r="AF40" s="47">
        <v>1.0975371678600001E-5</v>
      </c>
      <c r="AG40" s="47">
        <v>1.8835944381400001E-4</v>
      </c>
      <c r="AH40" s="47">
        <v>2.2166838042499999E-4</v>
      </c>
      <c r="AI40" s="47">
        <v>2.0076812717100001E-4</v>
      </c>
      <c r="AJ40" s="47">
        <v>1.4568911818099999E-4</v>
      </c>
      <c r="AK40" s="47">
        <v>1.15495650742E-4</v>
      </c>
      <c r="AL40" s="47">
        <v>1.03354423777E-4</v>
      </c>
      <c r="AM40" s="47">
        <v>-1.9436122606600001E-5</v>
      </c>
      <c r="AN40" s="47">
        <v>-1.1771921264700001E-5</v>
      </c>
      <c r="AO40" s="47">
        <v>-3.8424659928499996E-6</v>
      </c>
      <c r="AP40" s="47">
        <v>-4.2872445001299998E-7</v>
      </c>
      <c r="AQ40" s="47">
        <v>1.8555781924699999E-6</v>
      </c>
      <c r="AR40" s="47">
        <v>3.4719620304900002E-6</v>
      </c>
      <c r="AS40" s="47">
        <v>1.0782308430199999E-5</v>
      </c>
      <c r="AT40" s="47">
        <v>1.5403494378399998E-5</v>
      </c>
      <c r="AU40" s="47">
        <v>1.8618908585499999E-4</v>
      </c>
      <c r="AV40" s="47">
        <v>2.35484809104E-4</v>
      </c>
      <c r="AW40" s="47">
        <v>2.0618786655200001E-4</v>
      </c>
      <c r="AX40" s="47">
        <v>1.44054192103E-4</v>
      </c>
      <c r="AY40" s="47">
        <v>1.12433812394E-4</v>
      </c>
      <c r="AZ40" s="47">
        <v>9.3424036541999995E-5</v>
      </c>
      <c r="BA40" s="47">
        <v>1.116509238E-4</v>
      </c>
      <c r="BB40" s="47">
        <v>4.4192218931300002E-5</v>
      </c>
      <c r="BC40" s="47">
        <v>8.6915586225300003E-6</v>
      </c>
      <c r="BD40" s="47">
        <v>2.3503213515799999E-5</v>
      </c>
      <c r="BE40" s="47">
        <v>2.0196093327400002E-5</v>
      </c>
      <c r="BF40" s="47">
        <v>1.6883697458499999E-5</v>
      </c>
      <c r="BG40" s="47">
        <v>1.9035009616200001E-5</v>
      </c>
      <c r="BH40" s="47">
        <v>2.0537296461499999E-5</v>
      </c>
      <c r="BI40" s="47">
        <v>1.73480102508E-4</v>
      </c>
      <c r="BJ40" s="47">
        <v>2.21903119965E-4</v>
      </c>
      <c r="BK40" s="47">
        <v>1.85752931249E-4</v>
      </c>
      <c r="BL40" s="47">
        <v>1.0454170577299999E-4</v>
      </c>
      <c r="BM40" s="47">
        <v>7.5703703593299999E-5</v>
      </c>
      <c r="BN40" s="47">
        <v>6.3674998884800002E-5</v>
      </c>
    </row>
    <row r="41" spans="1:66">
      <c r="A41" s="47">
        <v>3.1306726551500002E-6</v>
      </c>
      <c r="B41" s="47">
        <v>1.24014322845E-5</v>
      </c>
      <c r="C41" s="47">
        <v>1.07023881504E-5</v>
      </c>
      <c r="D41" s="47">
        <v>1.7676534668700002E-5</v>
      </c>
      <c r="E41" s="47">
        <v>6.4467619607400006E-5</v>
      </c>
      <c r="F41" s="47">
        <v>-4.8518966659699998E-5</v>
      </c>
      <c r="G41" s="47">
        <v>1.5968538831699999E-5</v>
      </c>
      <c r="H41" s="47">
        <v>-4.4074533088999998E-6</v>
      </c>
      <c r="I41" s="47">
        <v>-2.9031106399499999E-6</v>
      </c>
      <c r="J41" s="47">
        <v>1.19269146207E-5</v>
      </c>
      <c r="K41" s="47">
        <v>-7.0371072917100005E-5</v>
      </c>
      <c r="L41" s="47">
        <v>-1.2652531822599999E-4</v>
      </c>
      <c r="M41" s="47">
        <v>-6.8614076384800006E-5</v>
      </c>
      <c r="N41" s="47">
        <v>-6.3571081251399995E-5</v>
      </c>
      <c r="O41" s="47">
        <v>-4.8017372514699999E-5</v>
      </c>
      <c r="P41" s="47">
        <v>-6.9500385301000004E-5</v>
      </c>
      <c r="Q41" s="47">
        <v>-3.5919641620500002E-5</v>
      </c>
      <c r="R41" s="47">
        <v>-4.8528479967199998E-5</v>
      </c>
      <c r="S41" s="47">
        <v>-1.07029852206E-5</v>
      </c>
      <c r="T41" s="47">
        <v>-1.52721210759E-5</v>
      </c>
      <c r="U41" s="47">
        <v>-9.1636282043800002E-6</v>
      </c>
      <c r="V41" s="47">
        <v>-1.26347468566E-5</v>
      </c>
      <c r="W41" s="47">
        <v>-1.16742001939E-5</v>
      </c>
      <c r="X41" s="47">
        <v>-1.1608752444099999E-5</v>
      </c>
      <c r="Y41" s="47">
        <v>-3.6428022741000002E-3</v>
      </c>
      <c r="Z41" s="47">
        <v>-2.8826081195199997E-4</v>
      </c>
      <c r="AA41" s="47">
        <v>-1.1748108582E-4</v>
      </c>
      <c r="AB41" s="47">
        <v>-1.1256530797E-4</v>
      </c>
      <c r="AC41" s="47">
        <v>-6.3032022249200003E-5</v>
      </c>
      <c r="AD41" s="47">
        <v>-2.5145374042600001E-5</v>
      </c>
      <c r="AE41" s="47">
        <v>-2.35319445794E-5</v>
      </c>
      <c r="AF41" s="47">
        <v>-1.3727931616700001E-5</v>
      </c>
      <c r="AG41" s="47">
        <v>-8.7051177560799997E-5</v>
      </c>
      <c r="AH41" s="47">
        <v>-8.0485922448800002E-5</v>
      </c>
      <c r="AI41" s="47">
        <v>-6.1594315210900005E-5</v>
      </c>
      <c r="AJ41" s="47">
        <v>-3.1363857631700003E-5</v>
      </c>
      <c r="AK41" s="47">
        <v>-2.24247013249E-5</v>
      </c>
      <c r="AL41" s="47">
        <v>-1.9436122606600001E-5</v>
      </c>
      <c r="AM41" s="47">
        <v>1.74327300243E-4</v>
      </c>
      <c r="AN41" s="47">
        <v>2.0553243924099999E-5</v>
      </c>
      <c r="AO41" s="47">
        <v>6.2777093642100001E-7</v>
      </c>
      <c r="AP41" s="47">
        <v>-1.28010995553E-6</v>
      </c>
      <c r="AQ41" s="47">
        <v>-6.5746298665499999E-6</v>
      </c>
      <c r="AR41" s="47">
        <v>-4.3993591487699998E-6</v>
      </c>
      <c r="AS41" s="47">
        <v>-4.57220410142E-6</v>
      </c>
      <c r="AT41" s="47">
        <v>-3.7890994951799998E-6</v>
      </c>
      <c r="AU41" s="47">
        <v>-2.0077899296799999E-5</v>
      </c>
      <c r="AV41" s="47">
        <v>-3.8137049549600003E-5</v>
      </c>
      <c r="AW41" s="47">
        <v>-2.8206420190399999E-5</v>
      </c>
      <c r="AX41" s="47">
        <v>-1.7711828070699999E-5</v>
      </c>
      <c r="AY41" s="47">
        <v>-1.36665018831E-5</v>
      </c>
      <c r="AZ41" s="47">
        <v>-1.0320240115700001E-5</v>
      </c>
      <c r="BA41" s="47">
        <v>-1.54057534166E-3</v>
      </c>
      <c r="BB41" s="47">
        <v>-6.9862449303299996E-4</v>
      </c>
      <c r="BC41" s="47">
        <v>-1.9705327953700001E-4</v>
      </c>
      <c r="BD41" s="47">
        <v>-1.17373500647E-4</v>
      </c>
      <c r="BE41" s="47">
        <v>-7.6645365077800004E-5</v>
      </c>
      <c r="BF41" s="47">
        <v>-3.6167246904700001E-5</v>
      </c>
      <c r="BG41" s="47">
        <v>-3.0532744932599999E-5</v>
      </c>
      <c r="BH41" s="47">
        <v>-2.88124675888E-5</v>
      </c>
      <c r="BI41" s="47">
        <v>-3.3822526591200001E-6</v>
      </c>
      <c r="BJ41" s="47">
        <v>2.8374004291999998E-7</v>
      </c>
      <c r="BK41" s="47">
        <v>2.0848120671200002E-6</v>
      </c>
      <c r="BL41" s="47">
        <v>1.79852462553E-6</v>
      </c>
      <c r="BM41" s="47">
        <v>7.1576927237900004E-7</v>
      </c>
      <c r="BN41" s="47">
        <v>1.34574050265E-6</v>
      </c>
    </row>
    <row r="42" spans="1:66">
      <c r="A42" s="47">
        <v>1.50082801916E-5</v>
      </c>
      <c r="B42" s="47">
        <v>1.0468181403E-5</v>
      </c>
      <c r="C42" s="47">
        <v>1.2121084604799999E-5</v>
      </c>
      <c r="D42" s="47">
        <v>2.3649106951199999E-5</v>
      </c>
      <c r="E42" s="47">
        <v>5.0244779972900003E-5</v>
      </c>
      <c r="F42" s="47">
        <v>-3.9396834805199997E-5</v>
      </c>
      <c r="G42" s="47">
        <v>-7.5332134753399997E-5</v>
      </c>
      <c r="H42" s="47">
        <v>-1.41876876303E-5</v>
      </c>
      <c r="I42" s="47">
        <v>-1.2013853641200001E-5</v>
      </c>
      <c r="J42" s="47">
        <v>3.4505441219799997E-5</v>
      </c>
      <c r="K42" s="47">
        <v>7.9017166313899995E-5</v>
      </c>
      <c r="L42" s="47">
        <v>-8.5480109031399999E-5</v>
      </c>
      <c r="M42" s="47">
        <v>-5.6276875985299998E-5</v>
      </c>
      <c r="N42" s="47">
        <v>-5.6967989994400001E-5</v>
      </c>
      <c r="O42" s="47">
        <v>-4.85179138119E-5</v>
      </c>
      <c r="P42" s="47">
        <v>-4.4449436662199997E-5</v>
      </c>
      <c r="Q42" s="47">
        <v>-4.22841774714E-5</v>
      </c>
      <c r="R42" s="47">
        <v>1.00189385523E-4</v>
      </c>
      <c r="S42" s="47">
        <v>-1.28885079997E-5</v>
      </c>
      <c r="T42" s="47">
        <v>-2.6325002564100001E-5</v>
      </c>
      <c r="U42" s="47">
        <v>-1.24155488806E-5</v>
      </c>
      <c r="V42" s="47">
        <v>-2.31214316893E-5</v>
      </c>
      <c r="W42" s="47">
        <v>-1.7026124855099999E-5</v>
      </c>
      <c r="X42" s="47">
        <v>-1.28602952817E-5</v>
      </c>
      <c r="Y42" s="47">
        <v>-8.6662502654000001E-4</v>
      </c>
      <c r="Z42" s="47">
        <v>2.5518857415299999E-4</v>
      </c>
      <c r="AA42" s="47">
        <v>4.7577921844399998E-5</v>
      </c>
      <c r="AB42" s="47">
        <v>9.0044766800699997E-6</v>
      </c>
      <c r="AC42" s="47">
        <v>4.7253875125399999E-5</v>
      </c>
      <c r="AD42" s="47">
        <v>2.0606635214799999E-5</v>
      </c>
      <c r="AE42" s="47">
        <v>2.0409259836E-5</v>
      </c>
      <c r="AF42" s="47">
        <v>2.1494728108999998E-6</v>
      </c>
      <c r="AG42" s="47">
        <v>-7.5140636213999996E-5</v>
      </c>
      <c r="AH42" s="47">
        <v>-8.0295894027099994E-5</v>
      </c>
      <c r="AI42" s="47">
        <v>-5.4620490400899999E-5</v>
      </c>
      <c r="AJ42" s="47">
        <v>-2.98897113481E-5</v>
      </c>
      <c r="AK42" s="47">
        <v>-1.1944269087199999E-5</v>
      </c>
      <c r="AL42" s="47">
        <v>-1.1771921264700001E-5</v>
      </c>
      <c r="AM42" s="47">
        <v>2.0553243924099999E-5</v>
      </c>
      <c r="AN42" s="47">
        <v>3.2220060937199999E-4</v>
      </c>
      <c r="AO42" s="47">
        <v>7.8962013703900001E-5</v>
      </c>
      <c r="AP42" s="47">
        <v>3.5986469781099998E-5</v>
      </c>
      <c r="AQ42" s="47">
        <v>2.32194929492E-5</v>
      </c>
      <c r="AR42" s="47">
        <v>2.45149929548E-5</v>
      </c>
      <c r="AS42" s="47">
        <v>2.81175293071E-5</v>
      </c>
      <c r="AT42" s="47">
        <v>2.7480002231299998E-5</v>
      </c>
      <c r="AU42" s="47">
        <v>-2.9430450411899999E-7</v>
      </c>
      <c r="AV42" s="47">
        <v>1.11899097964E-5</v>
      </c>
      <c r="AW42" s="47">
        <v>3.3054413982400002E-5</v>
      </c>
      <c r="AX42" s="47">
        <v>6.7362168189299996E-6</v>
      </c>
      <c r="AY42" s="47">
        <v>9.9972248565900001E-6</v>
      </c>
      <c r="AZ42" s="47">
        <v>9.2122976522099992E-6</v>
      </c>
      <c r="BA42" s="47">
        <v>-1.10595120883E-4</v>
      </c>
      <c r="BB42" s="47">
        <v>1.4358653630399999E-3</v>
      </c>
      <c r="BC42" s="47">
        <v>4.0220893099399997E-4</v>
      </c>
      <c r="BD42" s="47">
        <v>1.5102900649899999E-4</v>
      </c>
      <c r="BE42" s="47">
        <v>9.4855889015100006E-5</v>
      </c>
      <c r="BF42" s="47">
        <v>5.1424754632399999E-5</v>
      </c>
      <c r="BG42" s="47">
        <v>2.9815335324E-5</v>
      </c>
      <c r="BH42" s="47">
        <v>1.8077270141600001E-5</v>
      </c>
      <c r="BI42" s="47">
        <v>-1.9697828066799999E-5</v>
      </c>
      <c r="BJ42" s="47">
        <v>-1.8523623736899998E-5</v>
      </c>
      <c r="BK42" s="47">
        <v>-8.02036537599E-6</v>
      </c>
      <c r="BL42" s="47">
        <v>-9.0917856462599999E-6</v>
      </c>
      <c r="BM42" s="47">
        <v>-7.83989167409E-6</v>
      </c>
      <c r="BN42" s="47">
        <v>-1.37399174053E-5</v>
      </c>
    </row>
    <row r="43" spans="1:66">
      <c r="A43" s="47">
        <v>3.8791863397099997E-6</v>
      </c>
      <c r="B43" s="47">
        <v>2.1143991578800002E-6</v>
      </c>
      <c r="C43" s="47">
        <v>3.1608940638700001E-6</v>
      </c>
      <c r="D43" s="47">
        <v>5.5747397124800003E-6</v>
      </c>
      <c r="E43" s="47">
        <v>7.8282422216700001E-6</v>
      </c>
      <c r="F43" s="47">
        <v>-9.9786861539900002E-6</v>
      </c>
      <c r="G43" s="47">
        <v>-1.8704111490699999E-5</v>
      </c>
      <c r="H43" s="47">
        <v>-3.2840527334400001E-6</v>
      </c>
      <c r="I43" s="47">
        <v>-3.2236784936E-6</v>
      </c>
      <c r="J43" s="47">
        <v>1.00619938681E-5</v>
      </c>
      <c r="K43" s="47">
        <v>2.08823696019E-5</v>
      </c>
      <c r="L43" s="47">
        <v>-1.22767039981E-5</v>
      </c>
      <c r="M43" s="47">
        <v>-1.26283924613E-5</v>
      </c>
      <c r="N43" s="47">
        <v>-1.1602960752099999E-5</v>
      </c>
      <c r="O43" s="47">
        <v>-9.30959833736E-6</v>
      </c>
      <c r="P43" s="47">
        <v>-7.2339200142300002E-6</v>
      </c>
      <c r="Q43" s="47">
        <v>-8.4810954476699998E-6</v>
      </c>
      <c r="R43" s="47">
        <v>2.9291348697799999E-5</v>
      </c>
      <c r="S43" s="47">
        <v>-2.9031948115299999E-6</v>
      </c>
      <c r="T43" s="47">
        <v>-6.6515866332700003E-6</v>
      </c>
      <c r="U43" s="47">
        <v>-3.7799894170599999E-6</v>
      </c>
      <c r="V43" s="47">
        <v>-6.0313039741100003E-6</v>
      </c>
      <c r="W43" s="47">
        <v>-4.6517451164799996E-6</v>
      </c>
      <c r="X43" s="47">
        <v>-3.66230741769E-6</v>
      </c>
      <c r="Y43" s="47">
        <v>-1.2961948425300001E-4</v>
      </c>
      <c r="Z43" s="47">
        <v>1.05977023831E-4</v>
      </c>
      <c r="AA43" s="47">
        <v>2.72313267821E-5</v>
      </c>
      <c r="AB43" s="47">
        <v>1.38149936695E-5</v>
      </c>
      <c r="AC43" s="47">
        <v>1.8971230382800001E-5</v>
      </c>
      <c r="AD43" s="47">
        <v>1.02730659016E-5</v>
      </c>
      <c r="AE43" s="47">
        <v>8.3998788692900005E-6</v>
      </c>
      <c r="AF43" s="47">
        <v>3.2139965903500001E-6</v>
      </c>
      <c r="AG43" s="47">
        <v>-1.88465193086E-5</v>
      </c>
      <c r="AH43" s="47">
        <v>-1.88361265792E-5</v>
      </c>
      <c r="AI43" s="47">
        <v>-1.32682378473E-5</v>
      </c>
      <c r="AJ43" s="47">
        <v>-8.25423670032E-6</v>
      </c>
      <c r="AK43" s="47">
        <v>-3.5434362897300002E-6</v>
      </c>
      <c r="AL43" s="47">
        <v>-3.8424659928499996E-6</v>
      </c>
      <c r="AM43" s="47">
        <v>6.2777093642100001E-7</v>
      </c>
      <c r="AN43" s="47">
        <v>7.8962013703900001E-5</v>
      </c>
      <c r="AO43" s="47">
        <v>2.0063238885499998E-5</v>
      </c>
      <c r="AP43" s="47">
        <v>9.4583213569999992E-6</v>
      </c>
      <c r="AQ43" s="47">
        <v>6.34413770347E-6</v>
      </c>
      <c r="AR43" s="47">
        <v>7.6495344112299997E-6</v>
      </c>
      <c r="AS43" s="47">
        <v>9.0821526391000006E-6</v>
      </c>
      <c r="AT43" s="47">
        <v>8.7579934833500008E-6</v>
      </c>
      <c r="AU43" s="47">
        <v>7.3560990775699995E-7</v>
      </c>
      <c r="AV43" s="47">
        <v>4.3805972584000003E-6</v>
      </c>
      <c r="AW43" s="47">
        <v>1.00780677344E-5</v>
      </c>
      <c r="AX43" s="47">
        <v>2.9214757856899999E-6</v>
      </c>
      <c r="AY43" s="47">
        <v>2.9551079208200001E-6</v>
      </c>
      <c r="AZ43" s="47">
        <v>2.1796259024300001E-6</v>
      </c>
      <c r="BA43" s="47">
        <v>1.8840603263400001E-5</v>
      </c>
      <c r="BB43" s="47">
        <v>3.7189020500799999E-4</v>
      </c>
      <c r="BC43" s="47">
        <v>1.08530600934E-4</v>
      </c>
      <c r="BD43" s="47">
        <v>4.5192971841299998E-5</v>
      </c>
      <c r="BE43" s="47">
        <v>2.8378481752499999E-5</v>
      </c>
      <c r="BF43" s="47">
        <v>1.7639785385699999E-5</v>
      </c>
      <c r="BG43" s="47">
        <v>1.0757775982499999E-5</v>
      </c>
      <c r="BH43" s="47">
        <v>6.84553470035E-6</v>
      </c>
      <c r="BI43" s="47">
        <v>-9.0155611163899999E-6</v>
      </c>
      <c r="BJ43" s="47">
        <v>-7.4214057034200003E-6</v>
      </c>
      <c r="BK43" s="47">
        <v>-3.91042664836E-6</v>
      </c>
      <c r="BL43" s="47">
        <v>-2.8434357003100002E-6</v>
      </c>
      <c r="BM43" s="47">
        <v>-1.9577884935800001E-6</v>
      </c>
      <c r="BN43" s="47">
        <v>-3.5363234169000002E-6</v>
      </c>
    </row>
    <row r="44" spans="1:66">
      <c r="A44" s="47">
        <v>2.7833833283999999E-6</v>
      </c>
      <c r="B44" s="47">
        <v>1.77637363559E-6</v>
      </c>
      <c r="C44" s="47">
        <v>2.7734517477000001E-6</v>
      </c>
      <c r="D44" s="47">
        <v>4.5168420239700003E-6</v>
      </c>
      <c r="E44" s="47">
        <v>6.6872039345599999E-6</v>
      </c>
      <c r="F44" s="47">
        <v>-5.9475416417999997E-6</v>
      </c>
      <c r="G44" s="47">
        <v>-8.6256579017800004E-6</v>
      </c>
      <c r="H44" s="47">
        <v>-1.5799100388900001E-6</v>
      </c>
      <c r="I44" s="47">
        <v>-1.5478637758E-6</v>
      </c>
      <c r="J44" s="47">
        <v>5.3592434472099998E-6</v>
      </c>
      <c r="K44" s="47">
        <v>1.1555633009600001E-5</v>
      </c>
      <c r="L44" s="47">
        <v>-5.3278275572900003E-6</v>
      </c>
      <c r="M44" s="47">
        <v>-1.09053789015E-5</v>
      </c>
      <c r="N44" s="47">
        <v>-7.8215344416800001E-6</v>
      </c>
      <c r="O44" s="47">
        <v>-6.6404104536199998E-6</v>
      </c>
      <c r="P44" s="47">
        <v>-3.9742589763599996E-6</v>
      </c>
      <c r="Q44" s="47">
        <v>-5.55927997474E-6</v>
      </c>
      <c r="R44" s="47">
        <v>1.66123273069E-5</v>
      </c>
      <c r="S44" s="47">
        <v>1.29766743917E-6</v>
      </c>
      <c r="T44" s="47">
        <v>2.2414964299199999E-7</v>
      </c>
      <c r="U44" s="47">
        <v>1.9682563357500002E-6</v>
      </c>
      <c r="V44" s="47">
        <v>6.8647745918500003E-7</v>
      </c>
      <c r="W44" s="47">
        <v>6.4773912436199997E-7</v>
      </c>
      <c r="X44" s="47">
        <v>7.7033905045399997E-7</v>
      </c>
      <c r="Y44" s="47">
        <v>2.73330844104E-5</v>
      </c>
      <c r="Z44" s="47">
        <v>9.7882290841199996E-5</v>
      </c>
      <c r="AA44" s="47">
        <v>2.78284851267E-5</v>
      </c>
      <c r="AB44" s="47">
        <v>2.3311207804900001E-5</v>
      </c>
      <c r="AC44" s="47">
        <v>2.0366501578599998E-5</v>
      </c>
      <c r="AD44" s="47">
        <v>1.25423948146E-5</v>
      </c>
      <c r="AE44" s="47">
        <v>8.4696411105900004E-6</v>
      </c>
      <c r="AF44" s="47">
        <v>4.7177952903799998E-6</v>
      </c>
      <c r="AG44" s="47">
        <v>-1.4376076843299999E-6</v>
      </c>
      <c r="AH44" s="47">
        <v>-1.3281220862399999E-6</v>
      </c>
      <c r="AI44" s="47">
        <v>5.8086598595700001E-8</v>
      </c>
      <c r="AJ44" s="47">
        <v>-8.56340599687E-7</v>
      </c>
      <c r="AK44" s="47">
        <v>5.5085528033999995E-7</v>
      </c>
      <c r="AL44" s="47">
        <v>-4.2872445001299998E-7</v>
      </c>
      <c r="AM44" s="47">
        <v>-1.28010995553E-6</v>
      </c>
      <c r="AN44" s="47">
        <v>3.5986469781099998E-5</v>
      </c>
      <c r="AO44" s="47">
        <v>9.4583213569999992E-6</v>
      </c>
      <c r="AP44" s="47">
        <v>5.2770971512300001E-6</v>
      </c>
      <c r="AQ44" s="47">
        <v>4.1579974469199998E-6</v>
      </c>
      <c r="AR44" s="47">
        <v>5.9152063682600001E-6</v>
      </c>
      <c r="AS44" s="47">
        <v>7.2030075593400002E-6</v>
      </c>
      <c r="AT44" s="47">
        <v>6.4938101815300003E-6</v>
      </c>
      <c r="AU44" s="47">
        <v>6.1302826587700004E-6</v>
      </c>
      <c r="AV44" s="47">
        <v>8.9420429883799999E-6</v>
      </c>
      <c r="AW44" s="47">
        <v>1.16030147945E-5</v>
      </c>
      <c r="AX44" s="47">
        <v>6.34055014276E-6</v>
      </c>
      <c r="AY44" s="47">
        <v>5.0179828453599996E-6</v>
      </c>
      <c r="AZ44" s="47">
        <v>4.0148191790299997E-6</v>
      </c>
      <c r="BA44" s="47">
        <v>2.2450240786099999E-5</v>
      </c>
      <c r="BB44" s="47">
        <v>1.6386553664000001E-4</v>
      </c>
      <c r="BC44" s="47">
        <v>5.3205107625799999E-5</v>
      </c>
      <c r="BD44" s="47">
        <v>3.0916082046900002E-5</v>
      </c>
      <c r="BE44" s="47">
        <v>2.0145251525199998E-5</v>
      </c>
      <c r="BF44" s="47">
        <v>1.4721428382599999E-5</v>
      </c>
      <c r="BG44" s="47">
        <v>9.7912458181499997E-6</v>
      </c>
      <c r="BH44" s="47">
        <v>6.74095627747E-6</v>
      </c>
      <c r="BI44" s="47">
        <v>4.4709182640200002E-6</v>
      </c>
      <c r="BJ44" s="47">
        <v>7.4382963955199996E-6</v>
      </c>
      <c r="BK44" s="47">
        <v>7.5145397760300003E-6</v>
      </c>
      <c r="BL44" s="47">
        <v>3.6823450136200002E-6</v>
      </c>
      <c r="BM44" s="47">
        <v>2.2122253180300001E-6</v>
      </c>
      <c r="BN44" s="47">
        <v>7.6534819967599999E-7</v>
      </c>
    </row>
    <row r="45" spans="1:66">
      <c r="A45" s="47">
        <v>2.0266711081299999E-6</v>
      </c>
      <c r="B45" s="47">
        <v>9.6325765753700002E-7</v>
      </c>
      <c r="C45" s="47">
        <v>1.8219744635399999E-6</v>
      </c>
      <c r="D45" s="47">
        <v>3.4458789525499999E-6</v>
      </c>
      <c r="E45" s="47">
        <v>6.1321674010799999E-6</v>
      </c>
      <c r="F45" s="47">
        <v>-3.0366495150200002E-6</v>
      </c>
      <c r="G45" s="47">
        <v>-6.5518963740900003E-6</v>
      </c>
      <c r="H45" s="47">
        <v>-8.1078644971099999E-7</v>
      </c>
      <c r="I45" s="47">
        <v>-8.1884780632099996E-7</v>
      </c>
      <c r="J45" s="47">
        <v>3.6036862967800002E-6</v>
      </c>
      <c r="K45" s="47">
        <v>1.10028207004E-5</v>
      </c>
      <c r="L45" s="47">
        <v>-6.1762375794700003E-6</v>
      </c>
      <c r="M45" s="47">
        <v>-1.30932514182E-5</v>
      </c>
      <c r="N45" s="47">
        <v>-8.1290042528599995E-6</v>
      </c>
      <c r="O45" s="47">
        <v>-7.6362395544199995E-6</v>
      </c>
      <c r="P45" s="47">
        <v>-3.7872708068600001E-6</v>
      </c>
      <c r="Q45" s="47">
        <v>-6.27626418184E-6</v>
      </c>
      <c r="R45" s="47">
        <v>2.46020504631E-5</v>
      </c>
      <c r="S45" s="47">
        <v>4.01553421774E-6</v>
      </c>
      <c r="T45" s="47">
        <v>4.1824250339200002E-6</v>
      </c>
      <c r="U45" s="47">
        <v>5.5746677295900003E-6</v>
      </c>
      <c r="V45" s="47">
        <v>3.9884844778000001E-6</v>
      </c>
      <c r="W45" s="47">
        <v>3.5559877576499998E-6</v>
      </c>
      <c r="X45" s="47">
        <v>3.6810410124800001E-6</v>
      </c>
      <c r="Y45" s="47">
        <v>1.9027051597300001E-4</v>
      </c>
      <c r="Z45" s="47">
        <v>9.97423466543E-5</v>
      </c>
      <c r="AA45" s="47">
        <v>3.1301268129499998E-5</v>
      </c>
      <c r="AB45" s="47">
        <v>3.0370306973799999E-5</v>
      </c>
      <c r="AC45" s="47">
        <v>2.45512882081E-5</v>
      </c>
      <c r="AD45" s="47">
        <v>1.49781643583E-5</v>
      </c>
      <c r="AE45" s="47">
        <v>9.7861057397800004E-6</v>
      </c>
      <c r="AF45" s="47">
        <v>5.6509076844699998E-6</v>
      </c>
      <c r="AG45" s="47">
        <v>1.0312643952E-5</v>
      </c>
      <c r="AH45" s="47">
        <v>1.0422757738099999E-5</v>
      </c>
      <c r="AI45" s="47">
        <v>9.1485409039700005E-6</v>
      </c>
      <c r="AJ45" s="47">
        <v>3.53352312272E-6</v>
      </c>
      <c r="AK45" s="47">
        <v>3.7073070618800001E-6</v>
      </c>
      <c r="AL45" s="47">
        <v>1.8555781924699999E-6</v>
      </c>
      <c r="AM45" s="47">
        <v>-6.5746298665499999E-6</v>
      </c>
      <c r="AN45" s="47">
        <v>2.32194929492E-5</v>
      </c>
      <c r="AO45" s="47">
        <v>6.34413770347E-6</v>
      </c>
      <c r="AP45" s="47">
        <v>4.1579974469199998E-6</v>
      </c>
      <c r="AQ45" s="47">
        <v>4.2198508856900003E-6</v>
      </c>
      <c r="AR45" s="47">
        <v>5.9414482339400003E-6</v>
      </c>
      <c r="AS45" s="47">
        <v>7.0562354896899996E-6</v>
      </c>
      <c r="AT45" s="47">
        <v>5.9173604650299997E-6</v>
      </c>
      <c r="AU45" s="47">
        <v>9.6217550614599993E-6</v>
      </c>
      <c r="AV45" s="47">
        <v>1.3299162118E-5</v>
      </c>
      <c r="AW45" s="47">
        <v>1.5440126121199999E-5</v>
      </c>
      <c r="AX45" s="47">
        <v>9.43710345307E-6</v>
      </c>
      <c r="AY45" s="47">
        <v>7.4131879350499999E-6</v>
      </c>
      <c r="AZ45" s="47">
        <v>6.2305145887500001E-6</v>
      </c>
      <c r="BA45" s="47">
        <v>6.4163384065399996E-5</v>
      </c>
      <c r="BB45" s="47">
        <v>1.18968615498E-4</v>
      </c>
      <c r="BC45" s="47">
        <v>4.2677433025600001E-5</v>
      </c>
      <c r="BD45" s="47">
        <v>3.0497884334100001E-5</v>
      </c>
      <c r="BE45" s="47">
        <v>2.04700824187E-5</v>
      </c>
      <c r="BF45" s="47">
        <v>1.5885188839600002E-5</v>
      </c>
      <c r="BG45" s="47">
        <v>1.11491118077E-5</v>
      </c>
      <c r="BH45" s="47">
        <v>8.1263703995900005E-6</v>
      </c>
      <c r="BI45" s="47">
        <v>1.47730540356E-5</v>
      </c>
      <c r="BJ45" s="47">
        <v>1.7646293274599999E-5</v>
      </c>
      <c r="BK45" s="47">
        <v>1.46504843178E-5</v>
      </c>
      <c r="BL45" s="47">
        <v>6.9702076442700002E-6</v>
      </c>
      <c r="BM45" s="47">
        <v>4.1172817773599998E-6</v>
      </c>
      <c r="BN45" s="47">
        <v>2.4532946601400001E-6</v>
      </c>
    </row>
    <row r="46" spans="1:66">
      <c r="A46" s="47">
        <v>5.6091114414300002E-6</v>
      </c>
      <c r="B46" s="47">
        <v>3.8094570841299999E-6</v>
      </c>
      <c r="C46" s="47">
        <v>6.6238693178800001E-6</v>
      </c>
      <c r="D46" s="47">
        <v>9.5204104427400001E-6</v>
      </c>
      <c r="E46" s="47">
        <v>7.19855676611E-6</v>
      </c>
      <c r="F46" s="47">
        <v>-5.6419745117099999E-6</v>
      </c>
      <c r="G46" s="47">
        <v>-7.2831058406999997E-6</v>
      </c>
      <c r="H46" s="47">
        <v>-9.6738976938800006E-7</v>
      </c>
      <c r="I46" s="47">
        <v>-8.0424502758899996E-7</v>
      </c>
      <c r="J46" s="47">
        <v>1.49934082698E-5</v>
      </c>
      <c r="K46" s="47">
        <v>1.8309683793899999E-5</v>
      </c>
      <c r="L46" s="47">
        <v>2.2953237962800001E-6</v>
      </c>
      <c r="M46" s="47">
        <v>-2.0905238576799999E-5</v>
      </c>
      <c r="N46" s="47">
        <v>-1.2300068432599999E-5</v>
      </c>
      <c r="O46" s="47">
        <v>-1.01537597277E-5</v>
      </c>
      <c r="P46" s="47">
        <v>-3.6578093398699999E-6</v>
      </c>
      <c r="Q46" s="47">
        <v>-8.8021479274599997E-6</v>
      </c>
      <c r="R46" s="47">
        <v>3.5112693006000003E-5</v>
      </c>
      <c r="S46" s="47">
        <v>1.10400305211E-5</v>
      </c>
      <c r="T46" s="47">
        <v>1.2437756415000001E-5</v>
      </c>
      <c r="U46" s="47">
        <v>1.6262324262E-5</v>
      </c>
      <c r="V46" s="47">
        <v>1.2550295632E-5</v>
      </c>
      <c r="W46" s="47">
        <v>1.01207700302E-5</v>
      </c>
      <c r="X46" s="47">
        <v>9.2552247049000002E-6</v>
      </c>
      <c r="Y46" s="47">
        <v>2.07013825491E-4</v>
      </c>
      <c r="Z46" s="47">
        <v>2.0250766018000001E-4</v>
      </c>
      <c r="AA46" s="47">
        <v>6.4246510830899995E-5</v>
      </c>
      <c r="AB46" s="47">
        <v>6.0229779743000001E-5</v>
      </c>
      <c r="AC46" s="47">
        <v>4.3374356925000001E-5</v>
      </c>
      <c r="AD46" s="47">
        <v>3.1850377491200003E-5</v>
      </c>
      <c r="AE46" s="47">
        <v>1.9446425129600001E-5</v>
      </c>
      <c r="AF46" s="47">
        <v>1.34756994507E-5</v>
      </c>
      <c r="AG46" s="47">
        <v>1.93540093996E-5</v>
      </c>
      <c r="AH46" s="47">
        <v>2.38427958009E-5</v>
      </c>
      <c r="AI46" s="47">
        <v>2.0215603563799998E-5</v>
      </c>
      <c r="AJ46" s="47">
        <v>8.3367167316300002E-6</v>
      </c>
      <c r="AK46" s="47">
        <v>7.1880168038399997E-6</v>
      </c>
      <c r="AL46" s="47">
        <v>3.4719620304900002E-6</v>
      </c>
      <c r="AM46" s="47">
        <v>-4.3993591487699998E-6</v>
      </c>
      <c r="AN46" s="47">
        <v>2.45149929548E-5</v>
      </c>
      <c r="AO46" s="47">
        <v>7.6495344112299997E-6</v>
      </c>
      <c r="AP46" s="47">
        <v>5.9152063682600001E-6</v>
      </c>
      <c r="AQ46" s="47">
        <v>5.9414482339400003E-6</v>
      </c>
      <c r="AR46" s="47">
        <v>1.15976898842E-5</v>
      </c>
      <c r="AS46" s="47">
        <v>1.4604202300099999E-5</v>
      </c>
      <c r="AT46" s="47">
        <v>1.26830324183E-5</v>
      </c>
      <c r="AU46" s="47">
        <v>2.72450547316E-5</v>
      </c>
      <c r="AV46" s="47">
        <v>3.41056174549E-5</v>
      </c>
      <c r="AW46" s="47">
        <v>3.5959957026299997E-5</v>
      </c>
      <c r="AX46" s="47">
        <v>2.21224064187E-5</v>
      </c>
      <c r="AY46" s="47">
        <v>1.6097828027300001E-5</v>
      </c>
      <c r="AZ46" s="47">
        <v>1.2363861160900001E-5</v>
      </c>
      <c r="BA46" s="47">
        <v>4.9551898671399998E-5</v>
      </c>
      <c r="BB46" s="47">
        <v>1.0678537220900001E-4</v>
      </c>
      <c r="BC46" s="47">
        <v>5.2603520495999997E-5</v>
      </c>
      <c r="BD46" s="47">
        <v>4.8127016512399997E-5</v>
      </c>
      <c r="BE46" s="47">
        <v>3.19260749822E-5</v>
      </c>
      <c r="BF46" s="47">
        <v>3.0433794534800001E-5</v>
      </c>
      <c r="BG46" s="47">
        <v>2.0928952656999999E-5</v>
      </c>
      <c r="BH46" s="47">
        <v>1.45181436089E-5</v>
      </c>
      <c r="BI46" s="47">
        <v>3.0781819081599999E-5</v>
      </c>
      <c r="BJ46" s="47">
        <v>4.0734225695000002E-5</v>
      </c>
      <c r="BK46" s="47">
        <v>3.5432826842500001E-5</v>
      </c>
      <c r="BL46" s="47">
        <v>1.8098081106699998E-5</v>
      </c>
      <c r="BM46" s="47">
        <v>1.1922102181100001E-5</v>
      </c>
      <c r="BN46" s="47">
        <v>8.1623540814599996E-6</v>
      </c>
    </row>
    <row r="47" spans="1:66">
      <c r="A47" s="47">
        <v>8.6071531373600001E-6</v>
      </c>
      <c r="B47" s="47">
        <v>5.9901070676400003E-6</v>
      </c>
      <c r="C47" s="47">
        <v>9.7055763653799997E-6</v>
      </c>
      <c r="D47" s="47">
        <v>1.31044068665E-5</v>
      </c>
      <c r="E47" s="47">
        <v>8.5217008695600003E-6</v>
      </c>
      <c r="F47" s="47">
        <v>-8.7430002794700006E-6</v>
      </c>
      <c r="G47" s="47">
        <v>-1.0414950079200001E-5</v>
      </c>
      <c r="H47" s="47">
        <v>3.9836448096200001E-7</v>
      </c>
      <c r="I47" s="47">
        <v>1.0330534677399999E-6</v>
      </c>
      <c r="J47" s="47">
        <v>2.1764195232E-5</v>
      </c>
      <c r="K47" s="47">
        <v>8.6424598431899996E-6</v>
      </c>
      <c r="L47" s="47">
        <v>8.2079249164099995E-6</v>
      </c>
      <c r="M47" s="47">
        <v>-1.8897201477899999E-5</v>
      </c>
      <c r="N47" s="47">
        <v>-8.6480016971700001E-6</v>
      </c>
      <c r="O47" s="47">
        <v>-7.5034737712099999E-6</v>
      </c>
      <c r="P47" s="47">
        <v>-8.8306404248500002E-7</v>
      </c>
      <c r="Q47" s="47">
        <v>-6.5996407994899998E-6</v>
      </c>
      <c r="R47" s="47">
        <v>2.9602022715099999E-5</v>
      </c>
      <c r="S47" s="47">
        <v>1.8077952469899999E-5</v>
      </c>
      <c r="T47" s="47">
        <v>2.1636543409300001E-5</v>
      </c>
      <c r="U47" s="47">
        <v>2.8520038187599999E-5</v>
      </c>
      <c r="V47" s="47">
        <v>2.2786902135800001E-5</v>
      </c>
      <c r="W47" s="47">
        <v>1.8104870872100001E-5</v>
      </c>
      <c r="X47" s="47">
        <v>1.5877248064399999E-5</v>
      </c>
      <c r="Y47" s="47">
        <v>2.14202138547E-4</v>
      </c>
      <c r="Z47" s="47">
        <v>2.3836069276799999E-4</v>
      </c>
      <c r="AA47" s="47">
        <v>7.6886955503E-5</v>
      </c>
      <c r="AB47" s="47">
        <v>7.3773631038899994E-5</v>
      </c>
      <c r="AC47" s="47">
        <v>5.27815705655E-5</v>
      </c>
      <c r="AD47" s="47">
        <v>3.9987722434099998E-5</v>
      </c>
      <c r="AE47" s="47">
        <v>2.4902363877399999E-5</v>
      </c>
      <c r="AF47" s="47">
        <v>1.8614505717399999E-5</v>
      </c>
      <c r="AG47" s="47">
        <v>3.25219428493E-5</v>
      </c>
      <c r="AH47" s="47">
        <v>4.2207149233799998E-5</v>
      </c>
      <c r="AI47" s="47">
        <v>3.73485256079E-5</v>
      </c>
      <c r="AJ47" s="47">
        <v>2.0201552795100001E-5</v>
      </c>
      <c r="AK47" s="47">
        <v>1.6526805141100001E-5</v>
      </c>
      <c r="AL47" s="47">
        <v>1.0782308430199999E-5</v>
      </c>
      <c r="AM47" s="47">
        <v>-4.57220410142E-6</v>
      </c>
      <c r="AN47" s="47">
        <v>2.81175293071E-5</v>
      </c>
      <c r="AO47" s="47">
        <v>9.0821526391000006E-6</v>
      </c>
      <c r="AP47" s="47">
        <v>7.2030075593400002E-6</v>
      </c>
      <c r="AQ47" s="47">
        <v>7.0562354896899996E-6</v>
      </c>
      <c r="AR47" s="47">
        <v>1.4604202300099999E-5</v>
      </c>
      <c r="AS47" s="47">
        <v>2.0198025572500001E-5</v>
      </c>
      <c r="AT47" s="47">
        <v>1.9291810834000001E-5</v>
      </c>
      <c r="AU47" s="47">
        <v>4.8296778647200001E-5</v>
      </c>
      <c r="AV47" s="47">
        <v>6.1868889200900003E-5</v>
      </c>
      <c r="AW47" s="47">
        <v>6.1499903262499995E-5</v>
      </c>
      <c r="AX47" s="47">
        <v>3.82060407758E-5</v>
      </c>
      <c r="AY47" s="47">
        <v>2.7335970255800001E-5</v>
      </c>
      <c r="AZ47" s="47">
        <v>2.0690024656899999E-5</v>
      </c>
      <c r="BA47" s="47">
        <v>7.6219064244399998E-5</v>
      </c>
      <c r="BB47" s="47">
        <v>1.1536211359000001E-4</v>
      </c>
      <c r="BC47" s="47">
        <v>5.8932109786199999E-5</v>
      </c>
      <c r="BD47" s="47">
        <v>5.8816722984599997E-5</v>
      </c>
      <c r="BE47" s="47">
        <v>4.0926320776099999E-5</v>
      </c>
      <c r="BF47" s="47">
        <v>3.8523937760599998E-5</v>
      </c>
      <c r="BG47" s="47">
        <v>2.7856784009899999E-5</v>
      </c>
      <c r="BH47" s="47">
        <v>2.0650357522400002E-5</v>
      </c>
      <c r="BI47" s="47">
        <v>4.7941321822600003E-5</v>
      </c>
      <c r="BJ47" s="47">
        <v>6.4769862582500005E-5</v>
      </c>
      <c r="BK47" s="47">
        <v>5.7937154913899997E-5</v>
      </c>
      <c r="BL47" s="47">
        <v>3.09459046513E-5</v>
      </c>
      <c r="BM47" s="47">
        <v>2.1108360055600002E-5</v>
      </c>
      <c r="BN47" s="47">
        <v>1.55108732888E-5</v>
      </c>
    </row>
    <row r="48" spans="1:66">
      <c r="A48" s="47">
        <v>9.3096497436800001E-6</v>
      </c>
      <c r="B48" s="47">
        <v>6.5143323420000003E-6</v>
      </c>
      <c r="C48" s="47">
        <v>1.0153205856299999E-5</v>
      </c>
      <c r="D48" s="47">
        <v>1.27957510698E-5</v>
      </c>
      <c r="E48" s="47">
        <v>7.0554005832999999E-6</v>
      </c>
      <c r="F48" s="47">
        <v>-9.0367338033699994E-6</v>
      </c>
      <c r="G48" s="47">
        <v>-1.11107928019E-5</v>
      </c>
      <c r="H48" s="47">
        <v>2.0043368787600001E-6</v>
      </c>
      <c r="I48" s="47">
        <v>2.9679219721200001E-6</v>
      </c>
      <c r="J48" s="47">
        <v>2.32746398503E-5</v>
      </c>
      <c r="K48" s="47">
        <v>-6.13839372817E-6</v>
      </c>
      <c r="L48" s="47">
        <v>1.27080442547E-5</v>
      </c>
      <c r="M48" s="47">
        <v>-7.5362883925099998E-6</v>
      </c>
      <c r="N48" s="47">
        <v>-4.6206381390400003E-8</v>
      </c>
      <c r="O48" s="47">
        <v>-8.2883104489899997E-7</v>
      </c>
      <c r="P48" s="47">
        <v>3.5555063167800002E-6</v>
      </c>
      <c r="Q48" s="47">
        <v>-1.0492186569700001E-6</v>
      </c>
      <c r="R48" s="47">
        <v>1.15828044712E-5</v>
      </c>
      <c r="S48" s="47">
        <v>2.0162898618399999E-5</v>
      </c>
      <c r="T48" s="47">
        <v>2.4842032077300001E-5</v>
      </c>
      <c r="U48" s="47">
        <v>3.2995693608700001E-5</v>
      </c>
      <c r="V48" s="47">
        <v>2.6571805292500001E-5</v>
      </c>
      <c r="W48" s="47">
        <v>2.0784100877699998E-5</v>
      </c>
      <c r="X48" s="47">
        <v>1.7712562370699998E-5</v>
      </c>
      <c r="Y48" s="47">
        <v>1.59047065044E-4</v>
      </c>
      <c r="Z48" s="47">
        <v>1.8745252640200001E-4</v>
      </c>
      <c r="AA48" s="47">
        <v>6.0806238272499997E-5</v>
      </c>
      <c r="AB48" s="47">
        <v>5.9109763284199998E-5</v>
      </c>
      <c r="AC48" s="47">
        <v>4.2453241180699999E-5</v>
      </c>
      <c r="AD48" s="47">
        <v>3.3135062135099997E-5</v>
      </c>
      <c r="AE48" s="47">
        <v>2.15418334676E-5</v>
      </c>
      <c r="AF48" s="47">
        <v>1.7432871698599999E-5</v>
      </c>
      <c r="AG48" s="47">
        <v>3.7225679847800001E-5</v>
      </c>
      <c r="AH48" s="47">
        <v>4.9169025756999997E-5</v>
      </c>
      <c r="AI48" s="47">
        <v>4.4413950978800003E-5</v>
      </c>
      <c r="AJ48" s="47">
        <v>2.6999937505399999E-5</v>
      </c>
      <c r="AK48" s="47">
        <v>2.1571207294799999E-5</v>
      </c>
      <c r="AL48" s="47">
        <v>1.5403494378399998E-5</v>
      </c>
      <c r="AM48" s="47">
        <v>-3.7890994951799998E-6</v>
      </c>
      <c r="AN48" s="47">
        <v>2.7480002231299998E-5</v>
      </c>
      <c r="AO48" s="47">
        <v>8.7579934833500008E-6</v>
      </c>
      <c r="AP48" s="47">
        <v>6.4938101815300003E-6</v>
      </c>
      <c r="AQ48" s="47">
        <v>5.9173604650299997E-6</v>
      </c>
      <c r="AR48" s="47">
        <v>1.26830324183E-5</v>
      </c>
      <c r="AS48" s="47">
        <v>1.9291810834000001E-5</v>
      </c>
      <c r="AT48" s="47">
        <v>2.0241001030199998E-5</v>
      </c>
      <c r="AU48" s="47">
        <v>5.7786191238999997E-5</v>
      </c>
      <c r="AV48" s="47">
        <v>7.4588056616700001E-5</v>
      </c>
      <c r="AW48" s="47">
        <v>7.10082133364E-5</v>
      </c>
      <c r="AX48" s="47">
        <v>4.3629740331899997E-5</v>
      </c>
      <c r="AY48" s="47">
        <v>3.09231591967E-5</v>
      </c>
      <c r="AZ48" s="47">
        <v>2.3074271051699999E-5</v>
      </c>
      <c r="BA48" s="47">
        <v>8.7302753037900007E-5</v>
      </c>
      <c r="BB48" s="47">
        <v>1.21456114929E-4</v>
      </c>
      <c r="BC48" s="47">
        <v>5.3591962092699998E-5</v>
      </c>
      <c r="BD48" s="47">
        <v>5.12521531028E-5</v>
      </c>
      <c r="BE48" s="47">
        <v>3.70871659666E-5</v>
      </c>
      <c r="BF48" s="47">
        <v>3.3181689854500001E-5</v>
      </c>
      <c r="BG48" s="47">
        <v>2.52976835175E-5</v>
      </c>
      <c r="BH48" s="47">
        <v>2.0079478623200001E-5</v>
      </c>
      <c r="BI48" s="47">
        <v>5.1228248165500002E-5</v>
      </c>
      <c r="BJ48" s="47">
        <v>7.0061515039999994E-5</v>
      </c>
      <c r="BK48" s="47">
        <v>6.3507064389300004E-5</v>
      </c>
      <c r="BL48" s="47">
        <v>3.4567727505799997E-5</v>
      </c>
      <c r="BM48" s="47">
        <v>2.4249811565599999E-5</v>
      </c>
      <c r="BN48" s="47">
        <v>1.83806130901E-5</v>
      </c>
    </row>
    <row r="49" spans="1:66">
      <c r="A49" s="47">
        <v>4.9305538068500003E-5</v>
      </c>
      <c r="B49" s="47">
        <v>5.0390643756099999E-5</v>
      </c>
      <c r="C49" s="47">
        <v>7.7588873476499995E-5</v>
      </c>
      <c r="D49" s="47">
        <v>8.2010781441500005E-5</v>
      </c>
      <c r="E49" s="47">
        <v>9.2727684196200003E-5</v>
      </c>
      <c r="F49" s="47">
        <v>2.34646601065E-5</v>
      </c>
      <c r="G49" s="47">
        <v>5.8640450852199999E-6</v>
      </c>
      <c r="H49" s="47">
        <v>2.0895389547300001E-5</v>
      </c>
      <c r="I49" s="47">
        <v>2.8854934901599999E-5</v>
      </c>
      <c r="J49" s="47">
        <v>2.13908968831E-4</v>
      </c>
      <c r="K49" s="47">
        <v>7.1274604192300001E-5</v>
      </c>
      <c r="L49" s="47">
        <v>-1.5295032949200001E-5</v>
      </c>
      <c r="M49" s="47">
        <v>3.6648875183199998E-5</v>
      </c>
      <c r="N49" s="47">
        <v>5.9859546688200003E-5</v>
      </c>
      <c r="O49" s="47">
        <v>4.1162826689200002E-5</v>
      </c>
      <c r="P49" s="47">
        <v>2.79669215425E-5</v>
      </c>
      <c r="Q49" s="47">
        <v>4.5979139706799999E-6</v>
      </c>
      <c r="R49" s="47">
        <v>-9.0497128183099996E-5</v>
      </c>
      <c r="S49" s="47">
        <v>1.9125854341699999E-4</v>
      </c>
      <c r="T49" s="47">
        <v>2.5382863992499998E-4</v>
      </c>
      <c r="U49" s="47">
        <v>3.34632828593E-4</v>
      </c>
      <c r="V49" s="47">
        <v>2.72135827425E-4</v>
      </c>
      <c r="W49" s="47">
        <v>2.1331377833E-4</v>
      </c>
      <c r="X49" s="47">
        <v>1.8545711544700001E-4</v>
      </c>
      <c r="Y49" s="47">
        <v>3.2910108441799998E-3</v>
      </c>
      <c r="Z49" s="47">
        <v>4.03203726218E-4</v>
      </c>
      <c r="AA49" s="47">
        <v>8.9498082519600002E-5</v>
      </c>
      <c r="AB49" s="47">
        <v>1.4242447209499999E-4</v>
      </c>
      <c r="AC49" s="47">
        <v>6.6046006432499997E-5</v>
      </c>
      <c r="AD49" s="47">
        <v>6.8638440501000005E-5</v>
      </c>
      <c r="AE49" s="47">
        <v>5.1769324061600002E-5</v>
      </c>
      <c r="AF49" s="47">
        <v>5.6807475162999998E-5</v>
      </c>
      <c r="AG49" s="47">
        <v>5.6615718618200001E-4</v>
      </c>
      <c r="AH49" s="47">
        <v>6.2248287164999995E-4</v>
      </c>
      <c r="AI49" s="47">
        <v>5.2099203846699995E-4</v>
      </c>
      <c r="AJ49" s="47">
        <v>3.2038441964900001E-4</v>
      </c>
      <c r="AK49" s="47">
        <v>2.3384110495799999E-4</v>
      </c>
      <c r="AL49" s="47">
        <v>1.8618908585499999E-4</v>
      </c>
      <c r="AM49" s="47">
        <v>-2.0077899296799999E-5</v>
      </c>
      <c r="AN49" s="47">
        <v>-2.9430450411899999E-7</v>
      </c>
      <c r="AO49" s="47">
        <v>7.3560990775699995E-7</v>
      </c>
      <c r="AP49" s="47">
        <v>6.1302826587700004E-6</v>
      </c>
      <c r="AQ49" s="47">
        <v>9.6217550614599993E-6</v>
      </c>
      <c r="AR49" s="47">
        <v>2.72450547316E-5</v>
      </c>
      <c r="AS49" s="47">
        <v>4.8296778647200001E-5</v>
      </c>
      <c r="AT49" s="47">
        <v>5.7786191238999997E-5</v>
      </c>
      <c r="AU49" s="47">
        <v>5.9670345894800002E-4</v>
      </c>
      <c r="AV49" s="47">
        <v>6.9955025154300003E-4</v>
      </c>
      <c r="AW49" s="47">
        <v>5.8620932637700005E-4</v>
      </c>
      <c r="AX49" s="47">
        <v>3.5397497650800001E-4</v>
      </c>
      <c r="AY49" s="47">
        <v>2.6404046538599997E-4</v>
      </c>
      <c r="AZ49" s="47">
        <v>2.1147046723899999E-4</v>
      </c>
      <c r="BA49" s="47">
        <v>2.4597452684000001E-5</v>
      </c>
      <c r="BB49" s="47">
        <v>2.99549449002E-4</v>
      </c>
      <c r="BC49" s="47">
        <v>1.10628902582E-4</v>
      </c>
      <c r="BD49" s="47">
        <v>1.19661784294E-4</v>
      </c>
      <c r="BE49" s="47">
        <v>8.0407944056600002E-5</v>
      </c>
      <c r="BF49" s="47">
        <v>8.2844870665400001E-5</v>
      </c>
      <c r="BG49" s="47">
        <v>7.2717856437799994E-5</v>
      </c>
      <c r="BH49" s="47">
        <v>6.6377228195299996E-5</v>
      </c>
      <c r="BI49" s="47">
        <v>6.0454732389299997E-4</v>
      </c>
      <c r="BJ49" s="47">
        <v>7.27116819534E-4</v>
      </c>
      <c r="BK49" s="47">
        <v>5.9397225508599997E-4</v>
      </c>
      <c r="BL49" s="47">
        <v>3.1230420545099997E-4</v>
      </c>
      <c r="BM49" s="47">
        <v>2.16967029965E-4</v>
      </c>
      <c r="BN49" s="47">
        <v>1.75439055299E-4</v>
      </c>
    </row>
    <row r="50" spans="1:66">
      <c r="A50" s="47">
        <v>5.5418434311199997E-5</v>
      </c>
      <c r="B50" s="47">
        <v>5.58524254431E-5</v>
      </c>
      <c r="C50" s="47">
        <v>8.5591432039999995E-5</v>
      </c>
      <c r="D50" s="47">
        <v>8.9039434005899997E-5</v>
      </c>
      <c r="E50" s="47">
        <v>9.3239232007499997E-5</v>
      </c>
      <c r="F50" s="47">
        <v>2.4450902838799999E-5</v>
      </c>
      <c r="G50" s="47">
        <v>-1.0656395433800001E-5</v>
      </c>
      <c r="H50" s="47">
        <v>3.1020934714299997E-5</v>
      </c>
      <c r="I50" s="47">
        <v>4.1369531789900001E-5</v>
      </c>
      <c r="J50" s="47">
        <v>2.4128285512600001E-4</v>
      </c>
      <c r="K50" s="47">
        <v>4.6769611478899998E-5</v>
      </c>
      <c r="L50" s="47">
        <v>-1.43296059137E-5</v>
      </c>
      <c r="M50" s="47">
        <v>5.42252246589E-5</v>
      </c>
      <c r="N50" s="47">
        <v>8.2030207027699995E-5</v>
      </c>
      <c r="O50" s="47">
        <v>5.5671131577499997E-5</v>
      </c>
      <c r="P50" s="47">
        <v>3.6761460134800002E-5</v>
      </c>
      <c r="Q50" s="47">
        <v>7.7121571240600008E-6</v>
      </c>
      <c r="R50" s="47">
        <v>-9.0968894336900002E-5</v>
      </c>
      <c r="S50" s="47">
        <v>2.32760518584E-4</v>
      </c>
      <c r="T50" s="47">
        <v>3.1053361990799998E-4</v>
      </c>
      <c r="U50" s="47">
        <v>4.1218581148399998E-4</v>
      </c>
      <c r="V50" s="47">
        <v>3.36457183848E-4</v>
      </c>
      <c r="W50" s="47">
        <v>2.6807921574700002E-4</v>
      </c>
      <c r="X50" s="47">
        <v>2.3434341206699999E-4</v>
      </c>
      <c r="Y50" s="47">
        <v>3.6133955730900001E-3</v>
      </c>
      <c r="Z50" s="47">
        <v>4.84945186384E-4</v>
      </c>
      <c r="AA50" s="47">
        <v>1.1148283477200001E-4</v>
      </c>
      <c r="AB50" s="47">
        <v>1.7386624200999999E-4</v>
      </c>
      <c r="AC50" s="47">
        <v>8.3861441824399998E-5</v>
      </c>
      <c r="AD50" s="47">
        <v>8.7456911378700004E-5</v>
      </c>
      <c r="AE50" s="47">
        <v>6.9934175530800003E-5</v>
      </c>
      <c r="AF50" s="47">
        <v>7.2133240624900005E-5</v>
      </c>
      <c r="AG50" s="47">
        <v>6.5895418193000004E-4</v>
      </c>
      <c r="AH50" s="47">
        <v>7.4263952809099998E-4</v>
      </c>
      <c r="AI50" s="47">
        <v>6.2853312010100002E-4</v>
      </c>
      <c r="AJ50" s="47">
        <v>3.9570181668300002E-4</v>
      </c>
      <c r="AK50" s="47">
        <v>2.9241001786699998E-4</v>
      </c>
      <c r="AL50" s="47">
        <v>2.35484809104E-4</v>
      </c>
      <c r="AM50" s="47">
        <v>-3.8137049549600003E-5</v>
      </c>
      <c r="AN50" s="47">
        <v>1.11899097964E-5</v>
      </c>
      <c r="AO50" s="47">
        <v>4.3805972584000003E-6</v>
      </c>
      <c r="AP50" s="47">
        <v>8.9420429883799999E-6</v>
      </c>
      <c r="AQ50" s="47">
        <v>1.3299162118E-5</v>
      </c>
      <c r="AR50" s="47">
        <v>3.41056174549E-5</v>
      </c>
      <c r="AS50" s="47">
        <v>6.1868889200900003E-5</v>
      </c>
      <c r="AT50" s="47">
        <v>7.4588056616700001E-5</v>
      </c>
      <c r="AU50" s="47">
        <v>6.9955025154300003E-4</v>
      </c>
      <c r="AV50" s="47">
        <v>8.5392590050999996E-4</v>
      </c>
      <c r="AW50" s="47">
        <v>7.3134226479799999E-4</v>
      </c>
      <c r="AX50" s="47">
        <v>4.4863196183799999E-4</v>
      </c>
      <c r="AY50" s="47">
        <v>3.3538401645699997E-4</v>
      </c>
      <c r="AZ50" s="47">
        <v>2.6729919649700002E-4</v>
      </c>
      <c r="BA50" s="47">
        <v>3.0848452724400002E-4</v>
      </c>
      <c r="BB50" s="47">
        <v>4.08015032102E-4</v>
      </c>
      <c r="BC50" s="47">
        <v>1.4781206322700001E-4</v>
      </c>
      <c r="BD50" s="47">
        <v>1.4949212390699999E-4</v>
      </c>
      <c r="BE50" s="47">
        <v>1.06478868878E-4</v>
      </c>
      <c r="BF50" s="47">
        <v>1.0481202006499999E-4</v>
      </c>
      <c r="BG50" s="47">
        <v>9.35852436086E-5</v>
      </c>
      <c r="BH50" s="47">
        <v>8.6501403304599993E-5</v>
      </c>
      <c r="BI50" s="47">
        <v>7.0626798819599997E-4</v>
      </c>
      <c r="BJ50" s="47">
        <v>8.5602514413299997E-4</v>
      </c>
      <c r="BK50" s="47">
        <v>7.10935775708E-4</v>
      </c>
      <c r="BL50" s="47">
        <v>3.81774654151E-4</v>
      </c>
      <c r="BM50" s="47">
        <v>2.6804223915500002E-4</v>
      </c>
      <c r="BN50" s="47">
        <v>2.1939012916900001E-4</v>
      </c>
    </row>
    <row r="51" spans="1:66">
      <c r="A51" s="47">
        <v>4.5760618187900002E-5</v>
      </c>
      <c r="B51" s="47">
        <v>4.5944812762200003E-5</v>
      </c>
      <c r="C51" s="47">
        <v>7.01448324711E-5</v>
      </c>
      <c r="D51" s="47">
        <v>7.4434965237499994E-5</v>
      </c>
      <c r="E51" s="47">
        <v>7.4928917739700002E-5</v>
      </c>
      <c r="F51" s="47">
        <v>1.34802369358E-5</v>
      </c>
      <c r="G51" s="47">
        <v>-2.6644086031200001E-5</v>
      </c>
      <c r="H51" s="47">
        <v>2.8994910305899999E-5</v>
      </c>
      <c r="I51" s="47">
        <v>3.7811810134299998E-5</v>
      </c>
      <c r="J51" s="47">
        <v>2.0268496995E-4</v>
      </c>
      <c r="K51" s="47">
        <v>3.9163759230099997E-5</v>
      </c>
      <c r="L51" s="47">
        <v>-1.81730146194E-5</v>
      </c>
      <c r="M51" s="47">
        <v>2.4032696364499999E-5</v>
      </c>
      <c r="N51" s="47">
        <v>5.37924277556E-5</v>
      </c>
      <c r="O51" s="47">
        <v>3.01078339309E-5</v>
      </c>
      <c r="P51" s="47">
        <v>1.35644355398E-5</v>
      </c>
      <c r="Q51" s="47">
        <v>-9.7316105332799996E-6</v>
      </c>
      <c r="R51" s="47">
        <v>-3.84010935493E-5</v>
      </c>
      <c r="S51" s="47">
        <v>1.9897249656900001E-4</v>
      </c>
      <c r="T51" s="47">
        <v>2.6720751000499997E-4</v>
      </c>
      <c r="U51" s="47">
        <v>3.5902461939000001E-4</v>
      </c>
      <c r="V51" s="47">
        <v>2.91766132589E-4</v>
      </c>
      <c r="W51" s="47">
        <v>2.34977788072E-4</v>
      </c>
      <c r="X51" s="47">
        <v>2.0662055757399999E-4</v>
      </c>
      <c r="Y51" s="47">
        <v>2.7347461078600001E-3</v>
      </c>
      <c r="Z51" s="47">
        <v>4.7158155860000002E-4</v>
      </c>
      <c r="AA51" s="47">
        <v>1.2051587782300001E-4</v>
      </c>
      <c r="AB51" s="47">
        <v>1.7053142132199999E-4</v>
      </c>
      <c r="AC51" s="47">
        <v>9.2532027584400002E-5</v>
      </c>
      <c r="AD51" s="47">
        <v>9.3531118700999994E-5</v>
      </c>
      <c r="AE51" s="47">
        <v>7.2529217702099996E-5</v>
      </c>
      <c r="AF51" s="47">
        <v>6.8514345570100003E-5</v>
      </c>
      <c r="AG51" s="47">
        <v>5.4253436355299999E-4</v>
      </c>
      <c r="AH51" s="47">
        <v>6.2496406481099998E-4</v>
      </c>
      <c r="AI51" s="47">
        <v>5.3690246412499995E-4</v>
      </c>
      <c r="AJ51" s="47">
        <v>3.4116384453300002E-4</v>
      </c>
      <c r="AK51" s="47">
        <v>2.5489112299E-4</v>
      </c>
      <c r="AL51" s="47">
        <v>2.0618786655200001E-4</v>
      </c>
      <c r="AM51" s="47">
        <v>-2.8206420190399999E-5</v>
      </c>
      <c r="AN51" s="47">
        <v>3.3054413982400002E-5</v>
      </c>
      <c r="AO51" s="47">
        <v>1.00780677344E-5</v>
      </c>
      <c r="AP51" s="47">
        <v>1.16030147945E-5</v>
      </c>
      <c r="AQ51" s="47">
        <v>1.5440126121199999E-5</v>
      </c>
      <c r="AR51" s="47">
        <v>3.5959957026299997E-5</v>
      </c>
      <c r="AS51" s="47">
        <v>6.1499903262499995E-5</v>
      </c>
      <c r="AT51" s="47">
        <v>7.10082133364E-5</v>
      </c>
      <c r="AU51" s="47">
        <v>5.8620932637700005E-4</v>
      </c>
      <c r="AV51" s="47">
        <v>7.3134226479799999E-4</v>
      </c>
      <c r="AW51" s="47">
        <v>6.4558395401999996E-4</v>
      </c>
      <c r="AX51" s="47">
        <v>4.02081241406E-4</v>
      </c>
      <c r="AY51" s="47">
        <v>3.02210826936E-4</v>
      </c>
      <c r="AZ51" s="47">
        <v>2.4035026734499999E-4</v>
      </c>
      <c r="BA51" s="47">
        <v>3.8621449192099999E-4</v>
      </c>
      <c r="BB51" s="47">
        <v>4.0543095475500002E-4</v>
      </c>
      <c r="BC51" s="47">
        <v>1.5632044483800001E-4</v>
      </c>
      <c r="BD51" s="47">
        <v>1.48351174733E-4</v>
      </c>
      <c r="BE51" s="47">
        <v>1.08773452826E-4</v>
      </c>
      <c r="BF51" s="47">
        <v>1.06971065224E-4</v>
      </c>
      <c r="BG51" s="47">
        <v>9.2155712715799994E-5</v>
      </c>
      <c r="BH51" s="47">
        <v>8.2372035785900004E-5</v>
      </c>
      <c r="BI51" s="47">
        <v>6.0529955544500001E-4</v>
      </c>
      <c r="BJ51" s="47">
        <v>7.3635443774700004E-4</v>
      </c>
      <c r="BK51" s="47">
        <v>6.2037034133399999E-4</v>
      </c>
      <c r="BL51" s="47">
        <v>3.3250877433200002E-4</v>
      </c>
      <c r="BM51" s="47">
        <v>2.3373695144399999E-4</v>
      </c>
      <c r="BN51" s="47">
        <v>1.9009778253700001E-4</v>
      </c>
    </row>
    <row r="52" spans="1:66">
      <c r="A52" s="47">
        <v>2.26201118115E-5</v>
      </c>
      <c r="B52" s="47">
        <v>2.6495598281199999E-5</v>
      </c>
      <c r="C52" s="47">
        <v>3.86540636537E-5</v>
      </c>
      <c r="D52" s="47">
        <v>3.9143351525099998E-5</v>
      </c>
      <c r="E52" s="47">
        <v>3.5963835846799998E-5</v>
      </c>
      <c r="F52" s="47">
        <v>-3.6113500878100002E-7</v>
      </c>
      <c r="G52" s="47">
        <v>-8.8977727872300002E-6</v>
      </c>
      <c r="H52" s="47">
        <v>1.84404892939E-5</v>
      </c>
      <c r="I52" s="47">
        <v>2.3098325070399999E-5</v>
      </c>
      <c r="J52" s="47">
        <v>9.8380053871400006E-5</v>
      </c>
      <c r="K52" s="47">
        <v>-1.1797663260100001E-5</v>
      </c>
      <c r="L52" s="47">
        <v>-2.6266367406500001E-5</v>
      </c>
      <c r="M52" s="47">
        <v>1.60487485503E-6</v>
      </c>
      <c r="N52" s="47">
        <v>2.6899047294800002E-5</v>
      </c>
      <c r="O52" s="47">
        <v>1.32927876485E-5</v>
      </c>
      <c r="P52" s="47">
        <v>-6.1281027464600003E-7</v>
      </c>
      <c r="Q52" s="47">
        <v>-1.3554660681399999E-5</v>
      </c>
      <c r="R52" s="47">
        <v>-2.8797031250800002E-5</v>
      </c>
      <c r="S52" s="47">
        <v>1.18168999499E-4</v>
      </c>
      <c r="T52" s="47">
        <v>1.62827533785E-4</v>
      </c>
      <c r="U52" s="47">
        <v>2.2494839900700001E-4</v>
      </c>
      <c r="V52" s="47">
        <v>1.8896042778999999E-4</v>
      </c>
      <c r="W52" s="47">
        <v>1.5406251704400001E-4</v>
      </c>
      <c r="X52" s="47">
        <v>1.3639839801199999E-4</v>
      </c>
      <c r="Y52" s="47">
        <v>1.56849714418E-3</v>
      </c>
      <c r="Z52" s="47">
        <v>2.5882043944999998E-4</v>
      </c>
      <c r="AA52" s="47">
        <v>7.4360384458399998E-5</v>
      </c>
      <c r="AB52" s="47">
        <v>1.12490897011E-4</v>
      </c>
      <c r="AC52" s="47">
        <v>5.91394081389E-5</v>
      </c>
      <c r="AD52" s="47">
        <v>5.85622650543E-5</v>
      </c>
      <c r="AE52" s="47">
        <v>4.4065414593499999E-5</v>
      </c>
      <c r="AF52" s="47">
        <v>4.2418996231199998E-5</v>
      </c>
      <c r="AG52" s="47">
        <v>3.3827782381600001E-4</v>
      </c>
      <c r="AH52" s="47">
        <v>3.9456215603599998E-4</v>
      </c>
      <c r="AI52" s="47">
        <v>3.4277983204099999E-4</v>
      </c>
      <c r="AJ52" s="47">
        <v>2.2584547334100001E-4</v>
      </c>
      <c r="AK52" s="47">
        <v>1.72930966504E-4</v>
      </c>
      <c r="AL52" s="47">
        <v>1.44054192103E-4</v>
      </c>
      <c r="AM52" s="47">
        <v>-1.7711828070699999E-5</v>
      </c>
      <c r="AN52" s="47">
        <v>6.7362168189299996E-6</v>
      </c>
      <c r="AO52" s="47">
        <v>2.9214757856899999E-6</v>
      </c>
      <c r="AP52" s="47">
        <v>6.34055014276E-6</v>
      </c>
      <c r="AQ52" s="47">
        <v>9.43710345307E-6</v>
      </c>
      <c r="AR52" s="47">
        <v>2.21224064187E-5</v>
      </c>
      <c r="AS52" s="47">
        <v>3.82060407758E-5</v>
      </c>
      <c r="AT52" s="47">
        <v>4.3629740331899997E-5</v>
      </c>
      <c r="AU52" s="47">
        <v>3.5397497650800001E-4</v>
      </c>
      <c r="AV52" s="47">
        <v>4.4863196183799999E-4</v>
      </c>
      <c r="AW52" s="47">
        <v>4.02081241406E-4</v>
      </c>
      <c r="AX52" s="47">
        <v>2.6659538121699998E-4</v>
      </c>
      <c r="AY52" s="47">
        <v>2.0403765012699999E-4</v>
      </c>
      <c r="AZ52" s="47">
        <v>1.6459540252900001E-4</v>
      </c>
      <c r="BA52" s="47">
        <v>2.6366108884499998E-4</v>
      </c>
      <c r="BB52" s="47">
        <v>1.5775225099799999E-4</v>
      </c>
      <c r="BC52" s="47">
        <v>7.2781025348399994E-5</v>
      </c>
      <c r="BD52" s="47">
        <v>8.7821941894999995E-5</v>
      </c>
      <c r="BE52" s="47">
        <v>6.5093464397000003E-5</v>
      </c>
      <c r="BF52" s="47">
        <v>6.6571116629600004E-5</v>
      </c>
      <c r="BG52" s="47">
        <v>5.6697634198200001E-5</v>
      </c>
      <c r="BH52" s="47">
        <v>4.9947611360099997E-5</v>
      </c>
      <c r="BI52" s="47">
        <v>3.6554477332300002E-4</v>
      </c>
      <c r="BJ52" s="47">
        <v>4.5355176142499999E-4</v>
      </c>
      <c r="BK52" s="47">
        <v>3.8603490210699999E-4</v>
      </c>
      <c r="BL52" s="47">
        <v>2.1094339368299999E-4</v>
      </c>
      <c r="BM52" s="47">
        <v>1.51199561867E-4</v>
      </c>
      <c r="BN52" s="47">
        <v>1.2464709294399999E-4</v>
      </c>
    </row>
    <row r="53" spans="1:66">
      <c r="A53" s="47">
        <v>1.4668286005399999E-5</v>
      </c>
      <c r="B53" s="47">
        <v>1.9409212431899999E-5</v>
      </c>
      <c r="C53" s="47">
        <v>2.7361381984000001E-5</v>
      </c>
      <c r="D53" s="47">
        <v>2.7518720493900001E-5</v>
      </c>
      <c r="E53" s="47">
        <v>2.6503375909399999E-5</v>
      </c>
      <c r="F53" s="47">
        <v>-1.35694939157E-6</v>
      </c>
      <c r="G53" s="47">
        <v>-9.7222958962799999E-6</v>
      </c>
      <c r="H53" s="47">
        <v>1.33604222387E-5</v>
      </c>
      <c r="I53" s="47">
        <v>1.6564970872099999E-5</v>
      </c>
      <c r="J53" s="47">
        <v>6.9224488324100001E-5</v>
      </c>
      <c r="K53" s="47">
        <v>-5.5938564335799996E-6</v>
      </c>
      <c r="L53" s="47">
        <v>-3.48283975024E-5</v>
      </c>
      <c r="M53" s="47">
        <v>-6.0511943183699998E-6</v>
      </c>
      <c r="N53" s="47">
        <v>1.38267827475E-5</v>
      </c>
      <c r="O53" s="47">
        <v>3.6005409045900002E-6</v>
      </c>
      <c r="P53" s="47">
        <v>-8.6230945171900005E-6</v>
      </c>
      <c r="Q53" s="47">
        <v>-1.7812361256399999E-5</v>
      </c>
      <c r="R53" s="47">
        <v>-1.5873541006100001E-5</v>
      </c>
      <c r="S53" s="47">
        <v>8.5968032976699998E-5</v>
      </c>
      <c r="T53" s="47">
        <v>1.20070496536E-4</v>
      </c>
      <c r="U53" s="47">
        <v>1.6927207512300001E-4</v>
      </c>
      <c r="V53" s="47">
        <v>1.42944808593E-4</v>
      </c>
      <c r="W53" s="47">
        <v>1.1714207877E-4</v>
      </c>
      <c r="X53" s="47">
        <v>1.0427616951499999E-4</v>
      </c>
      <c r="Y53" s="47">
        <v>1.13226189602E-3</v>
      </c>
      <c r="Z53" s="47">
        <v>1.58466268481E-4</v>
      </c>
      <c r="AA53" s="47">
        <v>4.7445402111100003E-5</v>
      </c>
      <c r="AB53" s="47">
        <v>8.1124131125699997E-5</v>
      </c>
      <c r="AC53" s="47">
        <v>4.0885835016700003E-5</v>
      </c>
      <c r="AD53" s="47">
        <v>4.0854702616700002E-5</v>
      </c>
      <c r="AE53" s="47">
        <v>3.1070338115700002E-5</v>
      </c>
      <c r="AF53" s="47">
        <v>2.9668027206200002E-5</v>
      </c>
      <c r="AG53" s="47">
        <v>2.57058246922E-4</v>
      </c>
      <c r="AH53" s="47">
        <v>2.97859233115E-4</v>
      </c>
      <c r="AI53" s="47">
        <v>2.5981282597099998E-4</v>
      </c>
      <c r="AJ53" s="47">
        <v>1.7304050849000001E-4</v>
      </c>
      <c r="AK53" s="47">
        <v>1.3332977130200001E-4</v>
      </c>
      <c r="AL53" s="47">
        <v>1.12433812394E-4</v>
      </c>
      <c r="AM53" s="47">
        <v>-1.36665018831E-5</v>
      </c>
      <c r="AN53" s="47">
        <v>9.9972248565900001E-6</v>
      </c>
      <c r="AO53" s="47">
        <v>2.9551079208200001E-6</v>
      </c>
      <c r="AP53" s="47">
        <v>5.0179828453599996E-6</v>
      </c>
      <c r="AQ53" s="47">
        <v>7.4131879350499999E-6</v>
      </c>
      <c r="AR53" s="47">
        <v>1.6097828027300001E-5</v>
      </c>
      <c r="AS53" s="47">
        <v>2.7335970255800001E-5</v>
      </c>
      <c r="AT53" s="47">
        <v>3.09231591967E-5</v>
      </c>
      <c r="AU53" s="47">
        <v>2.6404046538599997E-4</v>
      </c>
      <c r="AV53" s="47">
        <v>3.3538401645699997E-4</v>
      </c>
      <c r="AW53" s="47">
        <v>3.02210826936E-4</v>
      </c>
      <c r="AX53" s="47">
        <v>2.0403765012699999E-4</v>
      </c>
      <c r="AY53" s="47">
        <v>1.5860237692500001E-4</v>
      </c>
      <c r="AZ53" s="47">
        <v>1.29498027887E-4</v>
      </c>
      <c r="BA53" s="47">
        <v>1.9696705950700001E-4</v>
      </c>
      <c r="BB53" s="47">
        <v>1.2927092019E-4</v>
      </c>
      <c r="BC53" s="47">
        <v>5.7267461141999998E-5</v>
      </c>
      <c r="BD53" s="47">
        <v>6.5280652728299997E-5</v>
      </c>
      <c r="BE53" s="47">
        <v>4.7469873254499998E-5</v>
      </c>
      <c r="BF53" s="47">
        <v>4.78013657943E-5</v>
      </c>
      <c r="BG53" s="47">
        <v>4.0504364232200001E-5</v>
      </c>
      <c r="BH53" s="47">
        <v>3.55407537869E-5</v>
      </c>
      <c r="BI53" s="47">
        <v>2.7668024319699999E-4</v>
      </c>
      <c r="BJ53" s="47">
        <v>3.42570818607E-4</v>
      </c>
      <c r="BK53" s="47">
        <v>2.9082605835100003E-4</v>
      </c>
      <c r="BL53" s="47">
        <v>1.5846962539900001E-4</v>
      </c>
      <c r="BM53" s="47">
        <v>1.1366574005900001E-4</v>
      </c>
      <c r="BN53" s="47">
        <v>9.3822621518400003E-5</v>
      </c>
    </row>
    <row r="54" spans="1:66">
      <c r="A54" s="47">
        <v>1.06544840278E-5</v>
      </c>
      <c r="B54" s="47">
        <v>1.58339185776E-5</v>
      </c>
      <c r="C54" s="47">
        <v>2.08018968725E-5</v>
      </c>
      <c r="D54" s="47">
        <v>2.1507027951699999E-5</v>
      </c>
      <c r="E54" s="47">
        <v>2.5850779426600001E-5</v>
      </c>
      <c r="F54" s="47">
        <v>-3.14699358148E-6</v>
      </c>
      <c r="G54" s="47">
        <v>-1.40964746583E-5</v>
      </c>
      <c r="H54" s="47">
        <v>8.7245677013800001E-6</v>
      </c>
      <c r="I54" s="47">
        <v>1.15820184072E-5</v>
      </c>
      <c r="J54" s="47">
        <v>5.0061568265799997E-5</v>
      </c>
      <c r="K54" s="47">
        <v>-1.20002418486E-5</v>
      </c>
      <c r="L54" s="47">
        <v>-4.9960522492299998E-5</v>
      </c>
      <c r="M54" s="47">
        <v>-1.4518710333899999E-5</v>
      </c>
      <c r="N54" s="47">
        <v>3.6164911684E-6</v>
      </c>
      <c r="O54" s="47">
        <v>-4.0443136505300001E-6</v>
      </c>
      <c r="P54" s="47">
        <v>-1.5137931251099999E-5</v>
      </c>
      <c r="Q54" s="47">
        <v>-2.0259836362599999E-5</v>
      </c>
      <c r="R54" s="47">
        <v>-1.17190636369E-5</v>
      </c>
      <c r="S54" s="47">
        <v>6.6090325802599999E-5</v>
      </c>
      <c r="T54" s="47">
        <v>9.3685551387300003E-5</v>
      </c>
      <c r="U54" s="47">
        <v>1.33807764609E-4</v>
      </c>
      <c r="V54" s="47">
        <v>1.1330694836E-4</v>
      </c>
      <c r="W54" s="47">
        <v>9.2363605428600004E-5</v>
      </c>
      <c r="X54" s="47">
        <v>8.2644176622100006E-5</v>
      </c>
      <c r="Y54" s="47">
        <v>9.5645177018300004E-4</v>
      </c>
      <c r="Z54" s="47">
        <v>8.9306369671600001E-5</v>
      </c>
      <c r="AA54" s="47">
        <v>3.03245860029E-5</v>
      </c>
      <c r="AB54" s="47">
        <v>6.36104325102E-5</v>
      </c>
      <c r="AC54" s="47">
        <v>3.1745718426500001E-5</v>
      </c>
      <c r="AD54" s="47">
        <v>2.9718562810300001E-5</v>
      </c>
      <c r="AE54" s="47">
        <v>2.2448230888999999E-5</v>
      </c>
      <c r="AF54" s="47">
        <v>2.1141939811099999E-5</v>
      </c>
      <c r="AG54" s="47">
        <v>2.1521247679600001E-4</v>
      </c>
      <c r="AH54" s="47">
        <v>2.4339112388200001E-4</v>
      </c>
      <c r="AI54" s="47">
        <v>2.1224044055699999E-4</v>
      </c>
      <c r="AJ54" s="47">
        <v>1.41854804051E-4</v>
      </c>
      <c r="AK54" s="47">
        <v>1.10709053834E-4</v>
      </c>
      <c r="AL54" s="47">
        <v>9.3424036541999995E-5</v>
      </c>
      <c r="AM54" s="47">
        <v>-1.0320240115700001E-5</v>
      </c>
      <c r="AN54" s="47">
        <v>9.2122976522099992E-6</v>
      </c>
      <c r="AO54" s="47">
        <v>2.1796259024300001E-6</v>
      </c>
      <c r="AP54" s="47">
        <v>4.0148191790299997E-6</v>
      </c>
      <c r="AQ54" s="47">
        <v>6.2305145887500001E-6</v>
      </c>
      <c r="AR54" s="47">
        <v>1.2363861160900001E-5</v>
      </c>
      <c r="AS54" s="47">
        <v>2.0690024656899999E-5</v>
      </c>
      <c r="AT54" s="47">
        <v>2.3074271051699999E-5</v>
      </c>
      <c r="AU54" s="47">
        <v>2.1147046723899999E-4</v>
      </c>
      <c r="AV54" s="47">
        <v>2.6729919649700002E-4</v>
      </c>
      <c r="AW54" s="47">
        <v>2.4035026734499999E-4</v>
      </c>
      <c r="AX54" s="47">
        <v>1.6459540252900001E-4</v>
      </c>
      <c r="AY54" s="47">
        <v>1.29498027887E-4</v>
      </c>
      <c r="AZ54" s="47">
        <v>1.08656840045E-4</v>
      </c>
      <c r="BA54" s="47">
        <v>1.3436096201999999E-4</v>
      </c>
      <c r="BB54" s="47">
        <v>7.8843641836499995E-5</v>
      </c>
      <c r="BC54" s="47">
        <v>3.87644904629E-5</v>
      </c>
      <c r="BD54" s="47">
        <v>5.0340149402699999E-5</v>
      </c>
      <c r="BE54" s="47">
        <v>3.6069327660299998E-5</v>
      </c>
      <c r="BF54" s="47">
        <v>3.6434187321600001E-5</v>
      </c>
      <c r="BG54" s="47">
        <v>3.1614533842300002E-5</v>
      </c>
      <c r="BH54" s="47">
        <v>2.8223245227499999E-5</v>
      </c>
      <c r="BI54" s="47">
        <v>2.2675107319400001E-4</v>
      </c>
      <c r="BJ54" s="47">
        <v>2.8075982166199999E-4</v>
      </c>
      <c r="BK54" s="47">
        <v>2.3443677268800001E-4</v>
      </c>
      <c r="BL54" s="47">
        <v>1.26986177462E-4</v>
      </c>
      <c r="BM54" s="47">
        <v>9.0731532401600002E-5</v>
      </c>
      <c r="BN54" s="47">
        <v>7.4793756078100004E-5</v>
      </c>
    </row>
    <row r="55" spans="1:66">
      <c r="A55" s="47">
        <v>3.9377626443799997E-5</v>
      </c>
      <c r="B55" s="47">
        <v>-4.8859149693599998E-5</v>
      </c>
      <c r="C55" s="47">
        <v>-1.11539346784E-5</v>
      </c>
      <c r="D55" s="47">
        <v>-1.02738356036E-4</v>
      </c>
      <c r="E55" s="47">
        <v>-5.0156707599600004E-4</v>
      </c>
      <c r="F55" s="47">
        <v>3.9611624954200001E-5</v>
      </c>
      <c r="G55" s="47">
        <v>-2.42125626052E-4</v>
      </c>
      <c r="H55" s="47">
        <v>9.9539009994399998E-5</v>
      </c>
      <c r="I55" s="47">
        <v>8.26825635224E-5</v>
      </c>
      <c r="J55" s="47">
        <v>-9.4188881523699997E-5</v>
      </c>
      <c r="K55" s="47">
        <v>6.5750034609600005E-4</v>
      </c>
      <c r="L55" s="47">
        <v>2.70791084268E-3</v>
      </c>
      <c r="M55" s="47">
        <v>1.16610548242E-3</v>
      </c>
      <c r="N55" s="47">
        <v>8.7883503864499997E-4</v>
      </c>
      <c r="O55" s="47">
        <v>5.5023886806100002E-4</v>
      </c>
      <c r="P55" s="47">
        <v>6.0011013579999999E-4</v>
      </c>
      <c r="Q55" s="47">
        <v>3.81694582213E-4</v>
      </c>
      <c r="R55" s="47">
        <v>2.21581014675E-4</v>
      </c>
      <c r="S55" s="47">
        <v>2.9061417172900002E-4</v>
      </c>
      <c r="T55" s="47">
        <v>3.8571613137300002E-4</v>
      </c>
      <c r="U55" s="47">
        <v>3.8428415130899998E-4</v>
      </c>
      <c r="V55" s="47">
        <v>2.4167310187599999E-4</v>
      </c>
      <c r="W55" s="47">
        <v>2.2623375434300001E-4</v>
      </c>
      <c r="X55" s="47">
        <v>1.80321376265E-4</v>
      </c>
      <c r="Y55" s="47">
        <v>1.0291523224099999E-2</v>
      </c>
      <c r="Z55" s="47">
        <v>1.8920451429300001E-3</v>
      </c>
      <c r="AA55" s="47">
        <v>9.6863520592900001E-4</v>
      </c>
      <c r="AB55" s="47">
        <v>9.3205744323800004E-4</v>
      </c>
      <c r="AC55" s="47">
        <v>6.7187372535399998E-4</v>
      </c>
      <c r="AD55" s="47">
        <v>3.0096468886699998E-4</v>
      </c>
      <c r="AE55" s="47">
        <v>3.5453434440799999E-4</v>
      </c>
      <c r="AF55" s="47">
        <v>2.2445093000299999E-4</v>
      </c>
      <c r="AG55" s="47">
        <v>5.9147047951600001E-4</v>
      </c>
      <c r="AH55" s="47">
        <v>5.8014707957999997E-4</v>
      </c>
      <c r="AI55" s="47">
        <v>4.9925413754900005E-4</v>
      </c>
      <c r="AJ55" s="47">
        <v>2.1957271895699999E-4</v>
      </c>
      <c r="AK55" s="47">
        <v>1.4910857929400001E-4</v>
      </c>
      <c r="AL55" s="47">
        <v>1.116509238E-4</v>
      </c>
      <c r="AM55" s="47">
        <v>-1.54057534166E-3</v>
      </c>
      <c r="AN55" s="47">
        <v>-1.10595120883E-4</v>
      </c>
      <c r="AO55" s="47">
        <v>1.8840603263400001E-5</v>
      </c>
      <c r="AP55" s="47">
        <v>2.2450240786099999E-5</v>
      </c>
      <c r="AQ55" s="47">
        <v>6.4163384065399996E-5</v>
      </c>
      <c r="AR55" s="47">
        <v>4.9551898671399998E-5</v>
      </c>
      <c r="AS55" s="47">
        <v>7.6219064244399998E-5</v>
      </c>
      <c r="AT55" s="47">
        <v>8.7302753037900007E-5</v>
      </c>
      <c r="AU55" s="47">
        <v>2.4597452684000001E-5</v>
      </c>
      <c r="AV55" s="47">
        <v>3.0848452724400002E-4</v>
      </c>
      <c r="AW55" s="47">
        <v>3.8621449192099999E-4</v>
      </c>
      <c r="AX55" s="47">
        <v>2.6366108884499998E-4</v>
      </c>
      <c r="AY55" s="47">
        <v>1.9696705950700001E-4</v>
      </c>
      <c r="AZ55" s="47">
        <v>1.3436096201999999E-4</v>
      </c>
      <c r="BA55" s="47">
        <v>4.76259451005E-2</v>
      </c>
      <c r="BB55" s="47">
        <v>6.0221053638299998E-3</v>
      </c>
      <c r="BC55" s="47">
        <v>1.87097089797E-3</v>
      </c>
      <c r="BD55" s="47">
        <v>1.0806462935099999E-3</v>
      </c>
      <c r="BE55" s="47">
        <v>8.3178660797800002E-4</v>
      </c>
      <c r="BF55" s="47">
        <v>4.1730594171299998E-4</v>
      </c>
      <c r="BG55" s="47">
        <v>3.3123458248999999E-4</v>
      </c>
      <c r="BH55" s="47">
        <v>2.9361067257699998E-4</v>
      </c>
      <c r="BI55" s="47">
        <v>2.6119429566799998E-4</v>
      </c>
      <c r="BJ55" s="47">
        <v>3.8038988031299998E-4</v>
      </c>
      <c r="BK55" s="47">
        <v>3.7662710979200002E-4</v>
      </c>
      <c r="BL55" s="47">
        <v>1.44744919489E-4</v>
      </c>
      <c r="BM55" s="47">
        <v>1.68289965554E-4</v>
      </c>
      <c r="BN55" s="47">
        <v>1.03397139681E-4</v>
      </c>
    </row>
    <row r="56" spans="1:66">
      <c r="A56" s="47">
        <v>8.7295927452300001E-5</v>
      </c>
      <c r="B56" s="47">
        <v>-6.2056319434599997E-6</v>
      </c>
      <c r="C56" s="47">
        <v>4.7718953929099997E-5</v>
      </c>
      <c r="D56" s="47">
        <v>3.3428657687E-5</v>
      </c>
      <c r="E56" s="47">
        <v>-8.0162851719400001E-5</v>
      </c>
      <c r="F56" s="47">
        <v>1.3324666091199999E-4</v>
      </c>
      <c r="G56" s="47">
        <v>-1.61842366682E-6</v>
      </c>
      <c r="H56" s="47">
        <v>4.8527135627600003E-5</v>
      </c>
      <c r="I56" s="47">
        <v>4.5362787875099997E-5</v>
      </c>
      <c r="J56" s="47">
        <v>2.7071574644300001E-4</v>
      </c>
      <c r="K56" s="47">
        <v>9.5298948740699997E-4</v>
      </c>
      <c r="L56" s="47">
        <v>7.2936271918300005E-4</v>
      </c>
      <c r="M56" s="47">
        <v>1.8145579236800001E-4</v>
      </c>
      <c r="N56" s="47">
        <v>1.74911993098E-4</v>
      </c>
      <c r="O56" s="47">
        <v>1.07009422327E-4</v>
      </c>
      <c r="P56" s="47">
        <v>1.8244260893400001E-4</v>
      </c>
      <c r="Q56" s="47">
        <v>3.6524412452399997E-5</v>
      </c>
      <c r="R56" s="47">
        <v>1.8128719796000001E-4</v>
      </c>
      <c r="S56" s="47">
        <v>-1.4477946725700001E-5</v>
      </c>
      <c r="T56" s="47">
        <v>-2.9952189785899999E-5</v>
      </c>
      <c r="U56" s="47">
        <v>1.0043193227600001E-5</v>
      </c>
      <c r="V56" s="47">
        <v>-5.5139932047900002E-5</v>
      </c>
      <c r="W56" s="47">
        <v>-5.35056604527E-5</v>
      </c>
      <c r="X56" s="47">
        <v>-4.5367788645200002E-5</v>
      </c>
      <c r="Y56" s="47">
        <v>1.8847567513299999E-2</v>
      </c>
      <c r="Z56" s="47">
        <v>3.2351758429400002E-3</v>
      </c>
      <c r="AA56" s="47">
        <v>7.3717103639199999E-4</v>
      </c>
      <c r="AB56" s="47">
        <v>4.0685062372400002E-4</v>
      </c>
      <c r="AC56" s="47">
        <v>3.6977047028500002E-4</v>
      </c>
      <c r="AD56" s="47">
        <v>1.2206391492799999E-4</v>
      </c>
      <c r="AE56" s="47">
        <v>1.5257882930999999E-4</v>
      </c>
      <c r="AF56" s="47">
        <v>3.6726213204399997E-5</v>
      </c>
      <c r="AG56" s="47">
        <v>8.7956868605000002E-5</v>
      </c>
      <c r="AH56" s="47">
        <v>2.8864200077400001E-5</v>
      </c>
      <c r="AI56" s="47">
        <v>9.51697357957E-5</v>
      </c>
      <c r="AJ56" s="47">
        <v>6.79775615669E-5</v>
      </c>
      <c r="AK56" s="47">
        <v>6.6865051899200003E-5</v>
      </c>
      <c r="AL56" s="47">
        <v>4.4192218931300002E-5</v>
      </c>
      <c r="AM56" s="47">
        <v>-6.9862449303299996E-4</v>
      </c>
      <c r="AN56" s="47">
        <v>1.4358653630399999E-3</v>
      </c>
      <c r="AO56" s="47">
        <v>3.7189020500799999E-4</v>
      </c>
      <c r="AP56" s="47">
        <v>1.6386553664000001E-4</v>
      </c>
      <c r="AQ56" s="47">
        <v>1.18968615498E-4</v>
      </c>
      <c r="AR56" s="47">
        <v>1.0678537220900001E-4</v>
      </c>
      <c r="AS56" s="47">
        <v>1.1536211359000001E-4</v>
      </c>
      <c r="AT56" s="47">
        <v>1.21456114929E-4</v>
      </c>
      <c r="AU56" s="47">
        <v>2.99549449002E-4</v>
      </c>
      <c r="AV56" s="47">
        <v>4.08015032102E-4</v>
      </c>
      <c r="AW56" s="47">
        <v>4.0543095475500002E-4</v>
      </c>
      <c r="AX56" s="47">
        <v>1.5775225099799999E-4</v>
      </c>
      <c r="AY56" s="47">
        <v>1.2927092019E-4</v>
      </c>
      <c r="AZ56" s="47">
        <v>7.8843641836499995E-5</v>
      </c>
      <c r="BA56" s="47">
        <v>6.0221053638299998E-3</v>
      </c>
      <c r="BB56" s="47">
        <v>1.3227997648100001E-2</v>
      </c>
      <c r="BC56" s="47">
        <v>3.4897286625800001E-3</v>
      </c>
      <c r="BD56" s="47">
        <v>1.3648629289200001E-3</v>
      </c>
      <c r="BE56" s="47">
        <v>8.5522802500899995E-4</v>
      </c>
      <c r="BF56" s="47">
        <v>3.8931633503000001E-4</v>
      </c>
      <c r="BG56" s="47">
        <v>2.1278383322199999E-4</v>
      </c>
      <c r="BH56" s="47">
        <v>1.2831655066899999E-4</v>
      </c>
      <c r="BI56" s="47">
        <v>-1.5178005190900001E-4</v>
      </c>
      <c r="BJ56" s="47">
        <v>-1.9714072870699999E-4</v>
      </c>
      <c r="BK56" s="47">
        <v>-3.8334171520700003E-5</v>
      </c>
      <c r="BL56" s="47">
        <v>-1.28896295678E-4</v>
      </c>
      <c r="BM56" s="47">
        <v>-1.0371072545299999E-4</v>
      </c>
      <c r="BN56" s="47">
        <v>-1.70994862944E-4</v>
      </c>
    </row>
    <row r="57" spans="1:66">
      <c r="A57" s="47">
        <v>2.6422247162300001E-5</v>
      </c>
      <c r="B57" s="47">
        <v>1.89286408611E-6</v>
      </c>
      <c r="C57" s="47">
        <v>2.0756144388999999E-5</v>
      </c>
      <c r="D57" s="47">
        <v>2.1296610625299999E-5</v>
      </c>
      <c r="E57" s="47">
        <v>-1.84147119979E-5</v>
      </c>
      <c r="F57" s="47">
        <v>3.3835888094800002E-5</v>
      </c>
      <c r="G57" s="47">
        <v>-2.1547510053600002E-5</v>
      </c>
      <c r="H57" s="47">
        <v>6.4972689853900003E-6</v>
      </c>
      <c r="I57" s="47">
        <v>3.9556492583699997E-6</v>
      </c>
      <c r="J57" s="47">
        <v>1.10436969134E-4</v>
      </c>
      <c r="K57" s="47">
        <v>3.2373798018799999E-4</v>
      </c>
      <c r="L57" s="47">
        <v>2.04556016913E-4</v>
      </c>
      <c r="M57" s="47">
        <v>5.3454687965500003E-6</v>
      </c>
      <c r="N57" s="47">
        <v>2.23904366683E-5</v>
      </c>
      <c r="O57" s="47">
        <v>1.31000103148E-5</v>
      </c>
      <c r="P57" s="47">
        <v>4.18837219112E-5</v>
      </c>
      <c r="Q57" s="47">
        <v>-1.32628712174E-5</v>
      </c>
      <c r="R57" s="47">
        <v>1.43959572924E-4</v>
      </c>
      <c r="S57" s="47">
        <v>4.2405171309E-6</v>
      </c>
      <c r="T57" s="47">
        <v>-3.1573948565899998E-7</v>
      </c>
      <c r="U57" s="47">
        <v>1.60240617956E-5</v>
      </c>
      <c r="V57" s="47">
        <v>-3.3307991692300001E-6</v>
      </c>
      <c r="W57" s="47">
        <v>-5.1806095776499999E-6</v>
      </c>
      <c r="X57" s="47">
        <v>-2.3003292056599998E-6</v>
      </c>
      <c r="Y57" s="47">
        <v>5.2587232975199998E-3</v>
      </c>
      <c r="Z57" s="47">
        <v>1.3048834538500001E-3</v>
      </c>
      <c r="AA57" s="47">
        <v>3.6692026322999999E-4</v>
      </c>
      <c r="AB57" s="47">
        <v>2.6435361212300001E-4</v>
      </c>
      <c r="AC57" s="47">
        <v>1.9783980493599999E-4</v>
      </c>
      <c r="AD57" s="47">
        <v>1.05078611612E-4</v>
      </c>
      <c r="AE57" s="47">
        <v>8.4536180213700006E-5</v>
      </c>
      <c r="AF57" s="47">
        <v>4.1636822970000001E-5</v>
      </c>
      <c r="AG57" s="47">
        <v>5.2317507958699999E-5</v>
      </c>
      <c r="AH57" s="47">
        <v>4.3985553418799997E-5</v>
      </c>
      <c r="AI57" s="47">
        <v>5.0081808884400003E-5</v>
      </c>
      <c r="AJ57" s="47">
        <v>2.0243178498799999E-5</v>
      </c>
      <c r="AK57" s="47">
        <v>2.27498283198E-5</v>
      </c>
      <c r="AL57" s="47">
        <v>8.6915586225300003E-6</v>
      </c>
      <c r="AM57" s="47">
        <v>-1.9705327953700001E-4</v>
      </c>
      <c r="AN57" s="47">
        <v>4.0220893099399997E-4</v>
      </c>
      <c r="AO57" s="47">
        <v>1.08530600934E-4</v>
      </c>
      <c r="AP57" s="47">
        <v>5.3205107625799999E-5</v>
      </c>
      <c r="AQ57" s="47">
        <v>4.2677433025600001E-5</v>
      </c>
      <c r="AR57" s="47">
        <v>5.2603520495999997E-5</v>
      </c>
      <c r="AS57" s="47">
        <v>5.8932109786199999E-5</v>
      </c>
      <c r="AT57" s="47">
        <v>5.3591962092699998E-5</v>
      </c>
      <c r="AU57" s="47">
        <v>1.10628902582E-4</v>
      </c>
      <c r="AV57" s="47">
        <v>1.4781206322700001E-4</v>
      </c>
      <c r="AW57" s="47">
        <v>1.5632044483800001E-4</v>
      </c>
      <c r="AX57" s="47">
        <v>7.2781025348399994E-5</v>
      </c>
      <c r="AY57" s="47">
        <v>5.7267461141999998E-5</v>
      </c>
      <c r="AZ57" s="47">
        <v>3.87644904629E-5</v>
      </c>
      <c r="BA57" s="47">
        <v>1.87097089797E-3</v>
      </c>
      <c r="BB57" s="47">
        <v>3.4897286625800001E-3</v>
      </c>
      <c r="BC57" s="47">
        <v>1.0064901607900001E-3</v>
      </c>
      <c r="BD57" s="47">
        <v>4.5858257007999999E-4</v>
      </c>
      <c r="BE57" s="47">
        <v>2.8575779218099998E-4</v>
      </c>
      <c r="BF57" s="47">
        <v>1.69107368749E-4</v>
      </c>
      <c r="BG57" s="47">
        <v>1.0217960593199999E-4</v>
      </c>
      <c r="BH57" s="47">
        <v>6.5566778712699997E-5</v>
      </c>
      <c r="BI57" s="47">
        <v>-1.7348507026499999E-5</v>
      </c>
      <c r="BJ57" s="47">
        <v>-4.2255620153799999E-6</v>
      </c>
      <c r="BK57" s="47">
        <v>2.2320252423700001E-5</v>
      </c>
      <c r="BL57" s="47">
        <v>-1.1891704763799999E-5</v>
      </c>
      <c r="BM57" s="47">
        <v>-1.08354179243E-5</v>
      </c>
      <c r="BN57" s="47">
        <v>-3.2730771664499999E-5</v>
      </c>
    </row>
    <row r="58" spans="1:66">
      <c r="A58" s="47">
        <v>2.5207545398400001E-5</v>
      </c>
      <c r="B58" s="47">
        <v>1.07910521259E-5</v>
      </c>
      <c r="C58" s="47">
        <v>2.4039120200300002E-5</v>
      </c>
      <c r="D58" s="47">
        <v>3.2606223554800003E-5</v>
      </c>
      <c r="E58" s="47">
        <v>1.8352068692699999E-5</v>
      </c>
      <c r="F58" s="47">
        <v>7.2866640809400001E-6</v>
      </c>
      <c r="G58" s="47">
        <v>-9.5320236377100004E-6</v>
      </c>
      <c r="H58" s="47">
        <v>2.8802362950899998E-6</v>
      </c>
      <c r="I58" s="47">
        <v>1.0470329771999999E-6</v>
      </c>
      <c r="J58" s="47">
        <v>6.1362873103800006E-5</v>
      </c>
      <c r="K58" s="47">
        <v>1.6427330679899999E-4</v>
      </c>
      <c r="L58" s="47">
        <v>1.09690995085E-4</v>
      </c>
      <c r="M58" s="47">
        <v>-3.6737314647099998E-5</v>
      </c>
      <c r="N58" s="47">
        <v>-5.9844183756699998E-6</v>
      </c>
      <c r="O58" s="47">
        <v>-1.0309690695699999E-5</v>
      </c>
      <c r="P58" s="47">
        <v>2.2738579400599999E-5</v>
      </c>
      <c r="Q58" s="47">
        <v>-1.65871402609E-5</v>
      </c>
      <c r="R58" s="47">
        <v>7.3949572311799995E-5</v>
      </c>
      <c r="S58" s="47">
        <v>3.7173679183900003E-5</v>
      </c>
      <c r="T58" s="47">
        <v>4.3672771253599998E-5</v>
      </c>
      <c r="U58" s="47">
        <v>5.3170260394399999E-5</v>
      </c>
      <c r="V58" s="47">
        <v>4.1989222856900001E-5</v>
      </c>
      <c r="W58" s="47">
        <v>3.0705894594799997E-5</v>
      </c>
      <c r="X58" s="47">
        <v>2.76520364754E-5</v>
      </c>
      <c r="Y58" s="47">
        <v>3.5701281430299998E-3</v>
      </c>
      <c r="Z58" s="47">
        <v>1.06325398075E-3</v>
      </c>
      <c r="AA58" s="47">
        <v>3.29806339955E-4</v>
      </c>
      <c r="AB58" s="47">
        <v>3.1365412904699999E-4</v>
      </c>
      <c r="AC58" s="47">
        <v>2.1060930205600001E-4</v>
      </c>
      <c r="AD58" s="47">
        <v>1.3070237679400001E-4</v>
      </c>
      <c r="AE58" s="47">
        <v>8.6576064593900005E-5</v>
      </c>
      <c r="AF58" s="47">
        <v>5.5395070815600001E-5</v>
      </c>
      <c r="AG58" s="47">
        <v>1.14929466948E-4</v>
      </c>
      <c r="AH58" s="47">
        <v>1.1292184060000001E-4</v>
      </c>
      <c r="AI58" s="47">
        <v>1.00691711024E-4</v>
      </c>
      <c r="AJ58" s="47">
        <v>4.9081300902999999E-5</v>
      </c>
      <c r="AK58" s="47">
        <v>3.9898582215600001E-5</v>
      </c>
      <c r="AL58" s="47">
        <v>2.3503213515799999E-5</v>
      </c>
      <c r="AM58" s="47">
        <v>-1.17373500647E-4</v>
      </c>
      <c r="AN58" s="47">
        <v>1.5102900649899999E-4</v>
      </c>
      <c r="AO58" s="47">
        <v>4.5192971841299998E-5</v>
      </c>
      <c r="AP58" s="47">
        <v>3.0916082046900002E-5</v>
      </c>
      <c r="AQ58" s="47">
        <v>3.0497884334100001E-5</v>
      </c>
      <c r="AR58" s="47">
        <v>4.8127016512399997E-5</v>
      </c>
      <c r="AS58" s="47">
        <v>5.8816722984599997E-5</v>
      </c>
      <c r="AT58" s="47">
        <v>5.12521531028E-5</v>
      </c>
      <c r="AU58" s="47">
        <v>1.19661784294E-4</v>
      </c>
      <c r="AV58" s="47">
        <v>1.4949212390699999E-4</v>
      </c>
      <c r="AW58" s="47">
        <v>1.48351174733E-4</v>
      </c>
      <c r="AX58" s="47">
        <v>8.7821941894999995E-5</v>
      </c>
      <c r="AY58" s="47">
        <v>6.5280652728299997E-5</v>
      </c>
      <c r="AZ58" s="47">
        <v>5.0340149402699999E-5</v>
      </c>
      <c r="BA58" s="47">
        <v>1.0806462935099999E-3</v>
      </c>
      <c r="BB58" s="47">
        <v>1.3648629289200001E-3</v>
      </c>
      <c r="BC58" s="47">
        <v>4.5858257007999999E-4</v>
      </c>
      <c r="BD58" s="47">
        <v>3.1573158772600001E-4</v>
      </c>
      <c r="BE58" s="47">
        <v>2.0304821890599999E-4</v>
      </c>
      <c r="BF58" s="47">
        <v>1.45802153527E-4</v>
      </c>
      <c r="BG58" s="47">
        <v>1.00631502284E-4</v>
      </c>
      <c r="BH58" s="47">
        <v>7.3092468277300004E-5</v>
      </c>
      <c r="BI58" s="47">
        <v>9.7224627363800005E-5</v>
      </c>
      <c r="BJ58" s="47">
        <v>1.34351172247E-4</v>
      </c>
      <c r="BK58" s="47">
        <v>1.2415888290199999E-4</v>
      </c>
      <c r="BL58" s="47">
        <v>5.7982735575400003E-5</v>
      </c>
      <c r="BM58" s="47">
        <v>3.53196386974E-5</v>
      </c>
      <c r="BN58" s="47">
        <v>1.7243175175599999E-5</v>
      </c>
    </row>
    <row r="59" spans="1:66">
      <c r="A59" s="47">
        <v>1.85266036939E-5</v>
      </c>
      <c r="B59" s="47">
        <v>7.4688555880599996E-6</v>
      </c>
      <c r="C59" s="47">
        <v>1.6292918078800001E-5</v>
      </c>
      <c r="D59" s="47">
        <v>2.1996102767899999E-5</v>
      </c>
      <c r="E59" s="47">
        <v>1.2514794417E-5</v>
      </c>
      <c r="F59" s="47">
        <v>-1.27014765857E-6</v>
      </c>
      <c r="G59" s="47">
        <v>-1.5246896202900001E-5</v>
      </c>
      <c r="H59" s="47">
        <v>3.9133976564200001E-6</v>
      </c>
      <c r="I59" s="47">
        <v>3.9549071363000001E-6</v>
      </c>
      <c r="J59" s="47">
        <v>3.9197187200299998E-5</v>
      </c>
      <c r="K59" s="47">
        <v>8.98787235217E-5</v>
      </c>
      <c r="L59" s="47">
        <v>7.4487366002399998E-5</v>
      </c>
      <c r="M59" s="47">
        <v>-1.6581304670200001E-5</v>
      </c>
      <c r="N59" s="47">
        <v>3.6027378204299999E-6</v>
      </c>
      <c r="O59" s="47">
        <v>-4.0729809763500002E-6</v>
      </c>
      <c r="P59" s="47">
        <v>1.57531911133E-5</v>
      </c>
      <c r="Q59" s="47">
        <v>-6.0234712078500004E-6</v>
      </c>
      <c r="R59" s="47">
        <v>3.5314782765300001E-5</v>
      </c>
      <c r="S59" s="47">
        <v>2.6935999440299999E-5</v>
      </c>
      <c r="T59" s="47">
        <v>3.3835372517999998E-5</v>
      </c>
      <c r="U59" s="47">
        <v>4.2336564351500003E-5</v>
      </c>
      <c r="V59" s="47">
        <v>3.2603356559499997E-5</v>
      </c>
      <c r="W59" s="47">
        <v>2.47481894257E-5</v>
      </c>
      <c r="X59" s="47">
        <v>2.1117564825500002E-5</v>
      </c>
      <c r="Y59" s="47">
        <v>2.3186479409800002E-3</v>
      </c>
      <c r="Z59" s="47">
        <v>7.0843925230300005E-4</v>
      </c>
      <c r="AA59" s="47">
        <v>2.1670253510900001E-4</v>
      </c>
      <c r="AB59" s="47">
        <v>2.0555357585400001E-4</v>
      </c>
      <c r="AC59" s="47">
        <v>1.45907477274E-4</v>
      </c>
      <c r="AD59" s="47">
        <v>9.0150227071200001E-5</v>
      </c>
      <c r="AE59" s="47">
        <v>6.0378567357399997E-5</v>
      </c>
      <c r="AF59" s="47">
        <v>3.78031881583E-5</v>
      </c>
      <c r="AG59" s="47">
        <v>7.2602988189699998E-5</v>
      </c>
      <c r="AH59" s="47">
        <v>7.6557708577600002E-5</v>
      </c>
      <c r="AI59" s="47">
        <v>7.2781136103299997E-5</v>
      </c>
      <c r="AJ59" s="47">
        <v>3.8490421642700002E-5</v>
      </c>
      <c r="AK59" s="47">
        <v>3.1240980137100001E-5</v>
      </c>
      <c r="AL59" s="47">
        <v>2.0196093327400002E-5</v>
      </c>
      <c r="AM59" s="47">
        <v>-7.6645365077800004E-5</v>
      </c>
      <c r="AN59" s="47">
        <v>9.4855889015100006E-5</v>
      </c>
      <c r="AO59" s="47">
        <v>2.8378481752499999E-5</v>
      </c>
      <c r="AP59" s="47">
        <v>2.0145251525199998E-5</v>
      </c>
      <c r="AQ59" s="47">
        <v>2.04700824187E-5</v>
      </c>
      <c r="AR59" s="47">
        <v>3.19260749822E-5</v>
      </c>
      <c r="AS59" s="47">
        <v>4.0926320776099999E-5</v>
      </c>
      <c r="AT59" s="47">
        <v>3.70871659666E-5</v>
      </c>
      <c r="AU59" s="47">
        <v>8.0407944056600002E-5</v>
      </c>
      <c r="AV59" s="47">
        <v>1.06478868878E-4</v>
      </c>
      <c r="AW59" s="47">
        <v>1.08773452826E-4</v>
      </c>
      <c r="AX59" s="47">
        <v>6.5093464397000003E-5</v>
      </c>
      <c r="AY59" s="47">
        <v>4.7469873254499998E-5</v>
      </c>
      <c r="AZ59" s="47">
        <v>3.6069327660299998E-5</v>
      </c>
      <c r="BA59" s="47">
        <v>8.3178660797800002E-4</v>
      </c>
      <c r="BB59" s="47">
        <v>8.5522802500899995E-4</v>
      </c>
      <c r="BC59" s="47">
        <v>2.8575779218099998E-4</v>
      </c>
      <c r="BD59" s="47">
        <v>2.0304821890599999E-4</v>
      </c>
      <c r="BE59" s="47">
        <v>1.40939285641E-4</v>
      </c>
      <c r="BF59" s="47">
        <v>9.9497041128500006E-5</v>
      </c>
      <c r="BG59" s="47">
        <v>7.0859313576500006E-5</v>
      </c>
      <c r="BH59" s="47">
        <v>5.34027581162E-5</v>
      </c>
      <c r="BI59" s="47">
        <v>7.5067531627600006E-5</v>
      </c>
      <c r="BJ59" s="47">
        <v>1.02609426441E-4</v>
      </c>
      <c r="BK59" s="47">
        <v>1.00524758564E-4</v>
      </c>
      <c r="BL59" s="47">
        <v>4.8802822275799999E-5</v>
      </c>
      <c r="BM59" s="47">
        <v>2.9476049202000002E-5</v>
      </c>
      <c r="BN59" s="47">
        <v>1.6349165780799999E-5</v>
      </c>
    </row>
    <row r="60" spans="1:66">
      <c r="A60" s="47">
        <v>1.41746292655E-5</v>
      </c>
      <c r="B60" s="47">
        <v>7.5769816124199999E-6</v>
      </c>
      <c r="C60" s="47">
        <v>1.7332189572600001E-5</v>
      </c>
      <c r="D60" s="47">
        <v>2.2427687105299998E-5</v>
      </c>
      <c r="E60" s="47">
        <v>1.4194580321199999E-5</v>
      </c>
      <c r="F60" s="47">
        <v>-1.04992009028E-5</v>
      </c>
      <c r="G60" s="47">
        <v>-1.1037164122100001E-5</v>
      </c>
      <c r="H60" s="47">
        <v>-1.18262773285E-6</v>
      </c>
      <c r="I60" s="47">
        <v>-5.4935550782700003E-7</v>
      </c>
      <c r="J60" s="47">
        <v>4.4421114248300003E-5</v>
      </c>
      <c r="K60" s="47">
        <v>6.3914493369199998E-5</v>
      </c>
      <c r="L60" s="47">
        <v>2.8438285179500001E-5</v>
      </c>
      <c r="M60" s="47">
        <v>-4.44823462509E-5</v>
      </c>
      <c r="N60" s="47">
        <v>-1.7299760473200001E-5</v>
      </c>
      <c r="O60" s="47">
        <v>-1.54390106235E-5</v>
      </c>
      <c r="P60" s="47">
        <v>1.21159240744E-6</v>
      </c>
      <c r="Q60" s="47">
        <v>-1.50755809662E-5</v>
      </c>
      <c r="R60" s="47">
        <v>8.9385579831899995E-5</v>
      </c>
      <c r="S60" s="47">
        <v>3.0770341738600002E-5</v>
      </c>
      <c r="T60" s="47">
        <v>3.8171221408100002E-5</v>
      </c>
      <c r="U60" s="47">
        <v>5.03502973189E-5</v>
      </c>
      <c r="V60" s="47">
        <v>3.93205654633E-5</v>
      </c>
      <c r="W60" s="47">
        <v>3.0649804359300002E-5</v>
      </c>
      <c r="X60" s="47">
        <v>2.82399310098E-5</v>
      </c>
      <c r="Y60" s="47">
        <v>1.38333486188E-3</v>
      </c>
      <c r="Z60" s="47">
        <v>6.4001780240300005E-4</v>
      </c>
      <c r="AA60" s="47">
        <v>2.0263023023699999E-4</v>
      </c>
      <c r="AB60" s="47">
        <v>1.8294846754599999E-4</v>
      </c>
      <c r="AC60" s="47">
        <v>1.3038337989300001E-4</v>
      </c>
      <c r="AD60" s="47">
        <v>9.1737666703699998E-5</v>
      </c>
      <c r="AE60" s="47">
        <v>5.7731025966599998E-5</v>
      </c>
      <c r="AF60" s="47">
        <v>4.0390232598599999E-5</v>
      </c>
      <c r="AG60" s="47">
        <v>7.5594987588699996E-5</v>
      </c>
      <c r="AH60" s="47">
        <v>8.7721855612700003E-5</v>
      </c>
      <c r="AI60" s="47">
        <v>7.5226072684700002E-5</v>
      </c>
      <c r="AJ60" s="47">
        <v>3.4333944259800001E-5</v>
      </c>
      <c r="AK60" s="47">
        <v>2.7249826929899999E-5</v>
      </c>
      <c r="AL60" s="47">
        <v>1.6883697458499999E-5</v>
      </c>
      <c r="AM60" s="47">
        <v>-3.6167246904700001E-5</v>
      </c>
      <c r="AN60" s="47">
        <v>5.1424754632399999E-5</v>
      </c>
      <c r="AO60" s="47">
        <v>1.7639785385699999E-5</v>
      </c>
      <c r="AP60" s="47">
        <v>1.4721428382599999E-5</v>
      </c>
      <c r="AQ60" s="47">
        <v>1.5885188839600002E-5</v>
      </c>
      <c r="AR60" s="47">
        <v>3.0433794534800001E-5</v>
      </c>
      <c r="AS60" s="47">
        <v>3.8523937760599998E-5</v>
      </c>
      <c r="AT60" s="47">
        <v>3.3181689854500001E-5</v>
      </c>
      <c r="AU60" s="47">
        <v>8.2844870665400001E-5</v>
      </c>
      <c r="AV60" s="47">
        <v>1.0481202006499999E-4</v>
      </c>
      <c r="AW60" s="47">
        <v>1.06971065224E-4</v>
      </c>
      <c r="AX60" s="47">
        <v>6.6571116629600004E-5</v>
      </c>
      <c r="AY60" s="47">
        <v>4.78013657943E-5</v>
      </c>
      <c r="AZ60" s="47">
        <v>3.6434187321600001E-5</v>
      </c>
      <c r="BA60" s="47">
        <v>4.1730594171299998E-4</v>
      </c>
      <c r="BB60" s="47">
        <v>3.8931633503000001E-4</v>
      </c>
      <c r="BC60" s="47">
        <v>1.69107368749E-4</v>
      </c>
      <c r="BD60" s="47">
        <v>1.45802153527E-4</v>
      </c>
      <c r="BE60" s="47">
        <v>9.9497041128500006E-5</v>
      </c>
      <c r="BF60" s="47">
        <v>9.3801388981799996E-5</v>
      </c>
      <c r="BG60" s="47">
        <v>6.5298582152800003E-5</v>
      </c>
      <c r="BH60" s="47">
        <v>4.6389185687899999E-5</v>
      </c>
      <c r="BI60" s="47">
        <v>9.2987862931699996E-5</v>
      </c>
      <c r="BJ60" s="47">
        <v>1.24691539609E-4</v>
      </c>
      <c r="BK60" s="47">
        <v>1.0873676294000001E-4</v>
      </c>
      <c r="BL60" s="47">
        <v>5.5307551105900001E-5</v>
      </c>
      <c r="BM60" s="47">
        <v>3.5527632792400003E-5</v>
      </c>
      <c r="BN60" s="47">
        <v>2.4026184056699999E-5</v>
      </c>
    </row>
    <row r="61" spans="1:66">
      <c r="A61" s="47">
        <v>1.21147773879E-5</v>
      </c>
      <c r="B61" s="47">
        <v>6.80159228475E-6</v>
      </c>
      <c r="C61" s="47">
        <v>1.4028697810199999E-5</v>
      </c>
      <c r="D61" s="47">
        <v>1.8822896042500001E-5</v>
      </c>
      <c r="E61" s="47">
        <v>1.61645302669E-5</v>
      </c>
      <c r="F61" s="47">
        <v>-5.7939565451799997E-6</v>
      </c>
      <c r="G61" s="47">
        <v>-1.9534608821499999E-5</v>
      </c>
      <c r="H61" s="47">
        <v>-1.1979664703200001E-6</v>
      </c>
      <c r="I61" s="47">
        <v>-1.0590565147900001E-6</v>
      </c>
      <c r="J61" s="47">
        <v>3.0307328186499999E-5</v>
      </c>
      <c r="K61" s="47">
        <v>2.7242757306900002E-5</v>
      </c>
      <c r="L61" s="47">
        <v>1.1990885975199999E-5</v>
      </c>
      <c r="M61" s="47">
        <v>-1.9116489302599999E-5</v>
      </c>
      <c r="N61" s="47">
        <v>-3.50962638892E-6</v>
      </c>
      <c r="O61" s="47">
        <v>-5.0059317106799996E-6</v>
      </c>
      <c r="P61" s="47">
        <v>5.5736368723099999E-6</v>
      </c>
      <c r="Q61" s="47">
        <v>-5.6857856782900001E-6</v>
      </c>
      <c r="R61" s="47">
        <v>4.2519457937699998E-5</v>
      </c>
      <c r="S61" s="47">
        <v>2.9974573416299999E-5</v>
      </c>
      <c r="T61" s="47">
        <v>3.7397523482499998E-5</v>
      </c>
      <c r="U61" s="47">
        <v>4.6642444416900001E-5</v>
      </c>
      <c r="V61" s="47">
        <v>3.7296384253599998E-5</v>
      </c>
      <c r="W61" s="47">
        <v>2.8396734901399999E-5</v>
      </c>
      <c r="X61" s="47">
        <v>2.54443589326E-5</v>
      </c>
      <c r="Y61" s="47">
        <v>1.22216198013E-3</v>
      </c>
      <c r="Z61" s="47">
        <v>4.1317164634999999E-4</v>
      </c>
      <c r="AA61" s="47">
        <v>1.3592112601399999E-4</v>
      </c>
      <c r="AB61" s="47">
        <v>1.28564435816E-4</v>
      </c>
      <c r="AC61" s="47">
        <v>9.1062377896399994E-5</v>
      </c>
      <c r="AD61" s="47">
        <v>6.3642818751699995E-5</v>
      </c>
      <c r="AE61" s="47">
        <v>4.1304951007099997E-5</v>
      </c>
      <c r="AF61" s="47">
        <v>3.1076361547999999E-5</v>
      </c>
      <c r="AG61" s="47">
        <v>7.5555132560399998E-5</v>
      </c>
      <c r="AH61" s="47">
        <v>8.5391091130299998E-5</v>
      </c>
      <c r="AI61" s="47">
        <v>7.25377181679E-5</v>
      </c>
      <c r="AJ61" s="47">
        <v>3.67973948424E-5</v>
      </c>
      <c r="AK61" s="47">
        <v>2.7924123603300001E-5</v>
      </c>
      <c r="AL61" s="47">
        <v>1.9035009616200001E-5</v>
      </c>
      <c r="AM61" s="47">
        <v>-3.0532744932599999E-5</v>
      </c>
      <c r="AN61" s="47">
        <v>2.9815335324E-5</v>
      </c>
      <c r="AO61" s="47">
        <v>1.0757775982499999E-5</v>
      </c>
      <c r="AP61" s="47">
        <v>9.7912458181499997E-6</v>
      </c>
      <c r="AQ61" s="47">
        <v>1.11491118077E-5</v>
      </c>
      <c r="AR61" s="47">
        <v>2.0928952656999999E-5</v>
      </c>
      <c r="AS61" s="47">
        <v>2.7856784009899999E-5</v>
      </c>
      <c r="AT61" s="47">
        <v>2.52976835175E-5</v>
      </c>
      <c r="AU61" s="47">
        <v>7.2717856437799994E-5</v>
      </c>
      <c r="AV61" s="47">
        <v>9.35852436086E-5</v>
      </c>
      <c r="AW61" s="47">
        <v>9.2155712715799994E-5</v>
      </c>
      <c r="AX61" s="47">
        <v>5.6697634198200001E-5</v>
      </c>
      <c r="AY61" s="47">
        <v>4.0504364232200001E-5</v>
      </c>
      <c r="AZ61" s="47">
        <v>3.1614533842300002E-5</v>
      </c>
      <c r="BA61" s="47">
        <v>3.3123458248999999E-4</v>
      </c>
      <c r="BB61" s="47">
        <v>2.1278383322199999E-4</v>
      </c>
      <c r="BC61" s="47">
        <v>1.0217960593199999E-4</v>
      </c>
      <c r="BD61" s="47">
        <v>1.00631502284E-4</v>
      </c>
      <c r="BE61" s="47">
        <v>7.0859313576500006E-5</v>
      </c>
      <c r="BF61" s="47">
        <v>6.5298582152800003E-5</v>
      </c>
      <c r="BG61" s="47">
        <v>5.1236999491000003E-5</v>
      </c>
      <c r="BH61" s="47">
        <v>4.1691386149899997E-5</v>
      </c>
      <c r="BI61" s="47">
        <v>9.5342725933800007E-5</v>
      </c>
      <c r="BJ61" s="47">
        <v>1.26514893145E-4</v>
      </c>
      <c r="BK61" s="47">
        <v>1.03142518323E-4</v>
      </c>
      <c r="BL61" s="47">
        <v>5.3654782321900002E-5</v>
      </c>
      <c r="BM61" s="47">
        <v>3.5338442900900003E-5</v>
      </c>
      <c r="BN61" s="47">
        <v>2.5805681955200001E-5</v>
      </c>
    </row>
    <row r="62" spans="1:66">
      <c r="A62" s="47">
        <v>1.0828039528000001E-5</v>
      </c>
      <c r="B62" s="47">
        <v>6.1519838704499997E-6</v>
      </c>
      <c r="C62" s="47">
        <v>1.17809705057E-5</v>
      </c>
      <c r="D62" s="47">
        <v>1.6166094346600001E-5</v>
      </c>
      <c r="E62" s="47">
        <v>1.68589729998E-5</v>
      </c>
      <c r="F62" s="47">
        <v>-2.0128983850099999E-6</v>
      </c>
      <c r="G62" s="47">
        <v>-2.43666444299E-5</v>
      </c>
      <c r="H62" s="47">
        <v>-8.7452052037499997E-7</v>
      </c>
      <c r="I62" s="47">
        <v>-1.05928422017E-6</v>
      </c>
      <c r="J62" s="47">
        <v>2.1383921363300001E-5</v>
      </c>
      <c r="K62" s="47">
        <v>4.6023689561600001E-6</v>
      </c>
      <c r="L62" s="47">
        <v>3.93987303179E-6</v>
      </c>
      <c r="M62" s="47">
        <v>-7.1017316993599996E-7</v>
      </c>
      <c r="N62" s="47">
        <v>6.95668291742E-6</v>
      </c>
      <c r="O62" s="47">
        <v>2.8532924806600001E-6</v>
      </c>
      <c r="P62" s="47">
        <v>9.5091315597400001E-6</v>
      </c>
      <c r="Q62" s="47">
        <v>1.1826888443899999E-6</v>
      </c>
      <c r="R62" s="47">
        <v>9.9650087426199994E-6</v>
      </c>
      <c r="S62" s="47">
        <v>2.9013176147399999E-5</v>
      </c>
      <c r="T62" s="47">
        <v>3.6397305937899997E-5</v>
      </c>
      <c r="U62" s="47">
        <v>4.3648563005899997E-5</v>
      </c>
      <c r="V62" s="47">
        <v>3.5449651239000002E-5</v>
      </c>
      <c r="W62" s="47">
        <v>2.6433267694399998E-5</v>
      </c>
      <c r="X62" s="47">
        <v>2.3128707773099998E-5</v>
      </c>
      <c r="Y62" s="47">
        <v>1.1639299364200001E-3</v>
      </c>
      <c r="Z62" s="47">
        <v>2.6511875557199999E-4</v>
      </c>
      <c r="AA62" s="47">
        <v>9.1769783778099993E-5</v>
      </c>
      <c r="AB62" s="47">
        <v>9.2097699824599999E-5</v>
      </c>
      <c r="AC62" s="47">
        <v>6.47573126392E-5</v>
      </c>
      <c r="AD62" s="47">
        <v>4.4223058677299998E-5</v>
      </c>
      <c r="AE62" s="47">
        <v>3.0152230048200001E-5</v>
      </c>
      <c r="AF62" s="47">
        <v>2.45504122162E-5</v>
      </c>
      <c r="AG62" s="47">
        <v>7.5567032300800005E-5</v>
      </c>
      <c r="AH62" s="47">
        <v>8.3446994225600001E-5</v>
      </c>
      <c r="AI62" s="47">
        <v>7.0637422198500005E-5</v>
      </c>
      <c r="AJ62" s="47">
        <v>3.8510344787600003E-5</v>
      </c>
      <c r="AK62" s="47">
        <v>2.8453281186000001E-5</v>
      </c>
      <c r="AL62" s="47">
        <v>2.0537296461499999E-5</v>
      </c>
      <c r="AM62" s="47">
        <v>-2.88124675888E-5</v>
      </c>
      <c r="AN62" s="47">
        <v>1.8077270141600001E-5</v>
      </c>
      <c r="AO62" s="47">
        <v>6.84553470035E-6</v>
      </c>
      <c r="AP62" s="47">
        <v>6.74095627747E-6</v>
      </c>
      <c r="AQ62" s="47">
        <v>8.1263703995900005E-6</v>
      </c>
      <c r="AR62" s="47">
        <v>1.45181436089E-5</v>
      </c>
      <c r="AS62" s="47">
        <v>2.0650357522400002E-5</v>
      </c>
      <c r="AT62" s="47">
        <v>2.0079478623200001E-5</v>
      </c>
      <c r="AU62" s="47">
        <v>6.6377228195299996E-5</v>
      </c>
      <c r="AV62" s="47">
        <v>8.6501403304599993E-5</v>
      </c>
      <c r="AW62" s="47">
        <v>8.2372035785900004E-5</v>
      </c>
      <c r="AX62" s="47">
        <v>4.9947611360099997E-5</v>
      </c>
      <c r="AY62" s="47">
        <v>3.55407537869E-5</v>
      </c>
      <c r="AZ62" s="47">
        <v>2.8223245227499999E-5</v>
      </c>
      <c r="BA62" s="47">
        <v>2.9361067257699998E-4</v>
      </c>
      <c r="BB62" s="47">
        <v>1.2831655066899999E-4</v>
      </c>
      <c r="BC62" s="47">
        <v>6.5566778712699997E-5</v>
      </c>
      <c r="BD62" s="47">
        <v>7.3092468277300004E-5</v>
      </c>
      <c r="BE62" s="47">
        <v>5.34027581162E-5</v>
      </c>
      <c r="BF62" s="47">
        <v>4.6389185687899999E-5</v>
      </c>
      <c r="BG62" s="47">
        <v>4.1691386149899997E-5</v>
      </c>
      <c r="BH62" s="47">
        <v>3.8331155071300001E-5</v>
      </c>
      <c r="BI62" s="47">
        <v>9.5112123490999998E-5</v>
      </c>
      <c r="BJ62" s="47">
        <v>1.2550329250600001E-4</v>
      </c>
      <c r="BK62" s="47">
        <v>9.8060957899500002E-5</v>
      </c>
      <c r="BL62" s="47">
        <v>5.16329847578E-5</v>
      </c>
      <c r="BM62" s="47">
        <v>3.4567487584700001E-5</v>
      </c>
      <c r="BN62" s="47">
        <v>2.6299031295400001E-5</v>
      </c>
    </row>
    <row r="63" spans="1:66">
      <c r="A63" s="47">
        <v>6.1556516734800001E-5</v>
      </c>
      <c r="B63" s="47">
        <v>6.2130114222100003E-5</v>
      </c>
      <c r="C63" s="47">
        <v>9.1006357535299993E-5</v>
      </c>
      <c r="D63" s="47">
        <v>1.2137136820900001E-4</v>
      </c>
      <c r="E63" s="47">
        <v>1.7905043337699999E-4</v>
      </c>
      <c r="F63" s="47">
        <v>4.99764166606E-6</v>
      </c>
      <c r="G63" s="47">
        <v>-3.86280204098E-5</v>
      </c>
      <c r="H63" s="47">
        <v>-2.1055978939299999E-6</v>
      </c>
      <c r="I63" s="47">
        <v>6.2587431974599997E-6</v>
      </c>
      <c r="J63" s="47">
        <v>1.81231030789E-4</v>
      </c>
      <c r="K63" s="47">
        <v>-2.7377736173199998E-5</v>
      </c>
      <c r="L63" s="47">
        <v>-2.2196023247499999E-4</v>
      </c>
      <c r="M63" s="47">
        <v>-2.78758805857E-5</v>
      </c>
      <c r="N63" s="47">
        <v>-6.2576457683099997E-6</v>
      </c>
      <c r="O63" s="47">
        <v>-1.25633043786E-5</v>
      </c>
      <c r="P63" s="47">
        <v>-9.33284350637E-6</v>
      </c>
      <c r="Q63" s="47">
        <v>-2.3770433924199999E-5</v>
      </c>
      <c r="R63" s="47">
        <v>1.4425224538300001E-4</v>
      </c>
      <c r="S63" s="47">
        <v>2.95969977677E-4</v>
      </c>
      <c r="T63" s="47">
        <v>3.65994702646E-4</v>
      </c>
      <c r="U63" s="47">
        <v>4.4858331972900001E-4</v>
      </c>
      <c r="V63" s="47">
        <v>3.6184948057600003E-4</v>
      </c>
      <c r="W63" s="47">
        <v>2.9452725921799998E-4</v>
      </c>
      <c r="X63" s="47">
        <v>2.6119066715099998E-4</v>
      </c>
      <c r="Y63" s="47">
        <v>2.6135614358500001E-3</v>
      </c>
      <c r="Z63" s="47">
        <v>4.4829071627499998E-4</v>
      </c>
      <c r="AA63" s="47">
        <v>4.7365587114299999E-5</v>
      </c>
      <c r="AB63" s="47">
        <v>1.44207876627E-4</v>
      </c>
      <c r="AC63" s="47">
        <v>1.05906578199E-4</v>
      </c>
      <c r="AD63" s="47">
        <v>1.0909507879099999E-4</v>
      </c>
      <c r="AE63" s="47">
        <v>8.2724382924999993E-5</v>
      </c>
      <c r="AF63" s="47">
        <v>7.9941971184800006E-5</v>
      </c>
      <c r="AG63" s="47">
        <v>7.3746229520399995E-4</v>
      </c>
      <c r="AH63" s="47">
        <v>7.5714603836100002E-4</v>
      </c>
      <c r="AI63" s="47">
        <v>6.1030764667199995E-4</v>
      </c>
      <c r="AJ63" s="47">
        <v>3.3435938206899997E-4</v>
      </c>
      <c r="AK63" s="47">
        <v>2.2718902719599999E-4</v>
      </c>
      <c r="AL63" s="47">
        <v>1.73480102508E-4</v>
      </c>
      <c r="AM63" s="47">
        <v>-3.3822526591200001E-6</v>
      </c>
      <c r="AN63" s="47">
        <v>-1.9697828066799999E-5</v>
      </c>
      <c r="AO63" s="47">
        <v>-9.0155611163899999E-6</v>
      </c>
      <c r="AP63" s="47">
        <v>4.4709182640200002E-6</v>
      </c>
      <c r="AQ63" s="47">
        <v>1.47730540356E-5</v>
      </c>
      <c r="AR63" s="47">
        <v>3.0781819081599999E-5</v>
      </c>
      <c r="AS63" s="47">
        <v>4.7941321822600003E-5</v>
      </c>
      <c r="AT63" s="47">
        <v>5.1228248165500002E-5</v>
      </c>
      <c r="AU63" s="47">
        <v>6.0454732389299997E-4</v>
      </c>
      <c r="AV63" s="47">
        <v>7.0626798819599997E-4</v>
      </c>
      <c r="AW63" s="47">
        <v>6.0529955544500001E-4</v>
      </c>
      <c r="AX63" s="47">
        <v>3.6554477332300002E-4</v>
      </c>
      <c r="AY63" s="47">
        <v>2.7668024319699999E-4</v>
      </c>
      <c r="AZ63" s="47">
        <v>2.2675107319400001E-4</v>
      </c>
      <c r="BA63" s="47">
        <v>2.6119429566799998E-4</v>
      </c>
      <c r="BB63" s="47">
        <v>-1.5178005190900001E-4</v>
      </c>
      <c r="BC63" s="47">
        <v>-1.7348507026499999E-5</v>
      </c>
      <c r="BD63" s="47">
        <v>9.7224627363800005E-5</v>
      </c>
      <c r="BE63" s="47">
        <v>7.5067531627600006E-5</v>
      </c>
      <c r="BF63" s="47">
        <v>9.2987862931699996E-5</v>
      </c>
      <c r="BG63" s="47">
        <v>9.5342725933800007E-5</v>
      </c>
      <c r="BH63" s="47">
        <v>9.5112123490999998E-5</v>
      </c>
      <c r="BI63" s="47">
        <v>1.0558078289900001E-3</v>
      </c>
      <c r="BJ63" s="47">
        <v>1.1465536759700001E-3</v>
      </c>
      <c r="BK63" s="47">
        <v>8.9349177674999999E-4</v>
      </c>
      <c r="BL63" s="47">
        <v>4.4833509183699998E-4</v>
      </c>
      <c r="BM63" s="47">
        <v>2.99839190759E-4</v>
      </c>
      <c r="BN63" s="47">
        <v>2.4417356166199999E-4</v>
      </c>
    </row>
    <row r="64" spans="1:66">
      <c r="A64" s="47">
        <v>7.6312579952999996E-5</v>
      </c>
      <c r="B64" s="47">
        <v>7.6965262883799994E-5</v>
      </c>
      <c r="C64" s="47">
        <v>1.14491021758E-4</v>
      </c>
      <c r="D64" s="47">
        <v>1.45111641676E-4</v>
      </c>
      <c r="E64" s="47">
        <v>2.1442750798E-4</v>
      </c>
      <c r="F64" s="47">
        <v>-5.4216061030199998E-6</v>
      </c>
      <c r="G64" s="47">
        <v>-4.01524876855E-5</v>
      </c>
      <c r="H64" s="47">
        <v>1.45385703777E-6</v>
      </c>
      <c r="I64" s="47">
        <v>1.0698793406000001E-5</v>
      </c>
      <c r="J64" s="47">
        <v>2.2983755485299999E-4</v>
      </c>
      <c r="K64" s="47">
        <v>-4.4645180966099999E-5</v>
      </c>
      <c r="L64" s="47">
        <v>-2.1720325062899999E-4</v>
      </c>
      <c r="M64" s="47">
        <v>-1.5551355347500002E-5</v>
      </c>
      <c r="N64" s="47">
        <v>8.9102096373299998E-6</v>
      </c>
      <c r="O64" s="47">
        <v>-1.7251184661200001E-6</v>
      </c>
      <c r="P64" s="47">
        <v>-3.4297245863800002E-6</v>
      </c>
      <c r="Q64" s="47">
        <v>-2.2701459950500001E-5</v>
      </c>
      <c r="R64" s="47">
        <v>5.4421342840500001E-5</v>
      </c>
      <c r="S64" s="47">
        <v>3.26489149804E-4</v>
      </c>
      <c r="T64" s="47">
        <v>4.1157279911300002E-4</v>
      </c>
      <c r="U64" s="47">
        <v>5.1684859692799996E-4</v>
      </c>
      <c r="V64" s="47">
        <v>4.1971939387899998E-4</v>
      </c>
      <c r="W64" s="47">
        <v>3.3543369923899998E-4</v>
      </c>
      <c r="X64" s="47">
        <v>2.9509254887999999E-4</v>
      </c>
      <c r="Y64" s="47">
        <v>3.5174340776099999E-3</v>
      </c>
      <c r="Z64" s="47">
        <v>5.7909898871100001E-4</v>
      </c>
      <c r="AA64" s="47">
        <v>1.02841340824E-4</v>
      </c>
      <c r="AB64" s="47">
        <v>2.01732332726E-4</v>
      </c>
      <c r="AC64" s="47">
        <v>1.3467616505899999E-4</v>
      </c>
      <c r="AD64" s="47">
        <v>1.31470808687E-4</v>
      </c>
      <c r="AE64" s="47">
        <v>9.6737206518100004E-5</v>
      </c>
      <c r="AF64" s="47">
        <v>9.8901664344400002E-5</v>
      </c>
      <c r="AG64" s="47">
        <v>8.4892417613000005E-4</v>
      </c>
      <c r="AH64" s="47">
        <v>8.8764741965100002E-4</v>
      </c>
      <c r="AI64" s="47">
        <v>7.2208759231500005E-4</v>
      </c>
      <c r="AJ64" s="47">
        <v>4.0848613004299997E-4</v>
      </c>
      <c r="AK64" s="47">
        <v>2.8481544720999999E-4</v>
      </c>
      <c r="AL64" s="47">
        <v>2.21903119965E-4</v>
      </c>
      <c r="AM64" s="47">
        <v>2.8374004291999998E-7</v>
      </c>
      <c r="AN64" s="47">
        <v>-1.8523623736899998E-5</v>
      </c>
      <c r="AO64" s="47">
        <v>-7.4214057034200003E-6</v>
      </c>
      <c r="AP64" s="47">
        <v>7.4382963955199996E-6</v>
      </c>
      <c r="AQ64" s="47">
        <v>1.7646293274599999E-5</v>
      </c>
      <c r="AR64" s="47">
        <v>4.0734225695000002E-5</v>
      </c>
      <c r="AS64" s="47">
        <v>6.4769862582500005E-5</v>
      </c>
      <c r="AT64" s="47">
        <v>7.0061515039999994E-5</v>
      </c>
      <c r="AU64" s="47">
        <v>7.27116819534E-4</v>
      </c>
      <c r="AV64" s="47">
        <v>8.5602514413299997E-4</v>
      </c>
      <c r="AW64" s="47">
        <v>7.3635443774700004E-4</v>
      </c>
      <c r="AX64" s="47">
        <v>4.5355176142499999E-4</v>
      </c>
      <c r="AY64" s="47">
        <v>3.42570818607E-4</v>
      </c>
      <c r="AZ64" s="47">
        <v>2.8075982166199999E-4</v>
      </c>
      <c r="BA64" s="47">
        <v>3.8038988031299998E-4</v>
      </c>
      <c r="BB64" s="47">
        <v>-1.9714072870699999E-4</v>
      </c>
      <c r="BC64" s="47">
        <v>-4.2255620153799999E-6</v>
      </c>
      <c r="BD64" s="47">
        <v>1.34351172247E-4</v>
      </c>
      <c r="BE64" s="47">
        <v>1.02609426441E-4</v>
      </c>
      <c r="BF64" s="47">
        <v>1.24691539609E-4</v>
      </c>
      <c r="BG64" s="47">
        <v>1.26514893145E-4</v>
      </c>
      <c r="BH64" s="47">
        <v>1.2550329250600001E-4</v>
      </c>
      <c r="BI64" s="47">
        <v>1.1465536759700001E-3</v>
      </c>
      <c r="BJ64" s="47">
        <v>1.31484075496E-3</v>
      </c>
      <c r="BK64" s="47">
        <v>1.0234533488000001E-3</v>
      </c>
      <c r="BL64" s="47">
        <v>5.2124528128599996E-4</v>
      </c>
      <c r="BM64" s="47">
        <v>3.5407704282900001E-4</v>
      </c>
      <c r="BN64" s="47">
        <v>2.8618898772000002E-4</v>
      </c>
    </row>
    <row r="65" spans="1:66">
      <c r="A65" s="47">
        <v>6.89332337877E-5</v>
      </c>
      <c r="B65" s="47">
        <v>6.37628407363E-5</v>
      </c>
      <c r="C65" s="47">
        <v>9.4176027659699998E-5</v>
      </c>
      <c r="D65" s="47">
        <v>1.18173669525E-4</v>
      </c>
      <c r="E65" s="47">
        <v>1.4893722301800001E-4</v>
      </c>
      <c r="F65" s="47">
        <v>-1.95701342042E-5</v>
      </c>
      <c r="G65" s="47">
        <v>-2.4152259864700002E-5</v>
      </c>
      <c r="H65" s="47">
        <v>1.4312719108E-5</v>
      </c>
      <c r="I65" s="47">
        <v>2.1781064408900001E-5</v>
      </c>
      <c r="J65" s="47">
        <v>1.9111895598799999E-4</v>
      </c>
      <c r="K65" s="47">
        <v>-3.3466342550100001E-5</v>
      </c>
      <c r="L65" s="47">
        <v>-1.37874716307E-4</v>
      </c>
      <c r="M65" s="47">
        <v>-2.65653632275E-6</v>
      </c>
      <c r="N65" s="47">
        <v>2.0373137175200001E-5</v>
      </c>
      <c r="O65" s="47">
        <v>-1.1039710462000001E-6</v>
      </c>
      <c r="P65" s="47">
        <v>-3.2464985418899998E-6</v>
      </c>
      <c r="Q65" s="47">
        <v>-1.5685842951799999E-5</v>
      </c>
      <c r="R65" s="47">
        <v>6.1743599362800004E-6</v>
      </c>
      <c r="S65" s="47">
        <v>2.7156587468800001E-4</v>
      </c>
      <c r="T65" s="47">
        <v>3.4515867434200002E-4</v>
      </c>
      <c r="U65" s="47">
        <v>4.3456269675799997E-4</v>
      </c>
      <c r="V65" s="47">
        <v>3.5171456959299998E-4</v>
      </c>
      <c r="W65" s="47">
        <v>2.8362394668900002E-4</v>
      </c>
      <c r="X65" s="47">
        <v>2.4862289611999997E-4</v>
      </c>
      <c r="Y65" s="47">
        <v>2.6855087768199999E-3</v>
      </c>
      <c r="Z65" s="47">
        <v>5.3746638598999995E-4</v>
      </c>
      <c r="AA65" s="47">
        <v>8.8804480578100005E-5</v>
      </c>
      <c r="AB65" s="47">
        <v>1.7554771584099999E-4</v>
      </c>
      <c r="AC65" s="47">
        <v>1.16024861935E-4</v>
      </c>
      <c r="AD65" s="47">
        <v>1.14290489202E-4</v>
      </c>
      <c r="AE65" s="47">
        <v>8.4329185663599998E-5</v>
      </c>
      <c r="AF65" s="47">
        <v>7.8745952009199994E-5</v>
      </c>
      <c r="AG65" s="47">
        <v>6.3437955122599998E-4</v>
      </c>
      <c r="AH65" s="47">
        <v>6.8324990440399996E-4</v>
      </c>
      <c r="AI65" s="47">
        <v>5.7134432321700004E-4</v>
      </c>
      <c r="AJ65" s="47">
        <v>3.34629792742E-4</v>
      </c>
      <c r="AK65" s="47">
        <v>2.33593949702E-4</v>
      </c>
      <c r="AL65" s="47">
        <v>1.85752931249E-4</v>
      </c>
      <c r="AM65" s="47">
        <v>2.0848120671200002E-6</v>
      </c>
      <c r="AN65" s="47">
        <v>-8.02036537599E-6</v>
      </c>
      <c r="AO65" s="47">
        <v>-3.91042664836E-6</v>
      </c>
      <c r="AP65" s="47">
        <v>7.5145397760300003E-6</v>
      </c>
      <c r="AQ65" s="47">
        <v>1.46504843178E-5</v>
      </c>
      <c r="AR65" s="47">
        <v>3.5432826842500001E-5</v>
      </c>
      <c r="AS65" s="47">
        <v>5.7937154913899997E-5</v>
      </c>
      <c r="AT65" s="47">
        <v>6.3507064389300004E-5</v>
      </c>
      <c r="AU65" s="47">
        <v>5.9397225508599997E-4</v>
      </c>
      <c r="AV65" s="47">
        <v>7.10935775708E-4</v>
      </c>
      <c r="AW65" s="47">
        <v>6.2037034133399999E-4</v>
      </c>
      <c r="AX65" s="47">
        <v>3.8603490210699999E-4</v>
      </c>
      <c r="AY65" s="47">
        <v>2.9082605835100003E-4</v>
      </c>
      <c r="AZ65" s="47">
        <v>2.3443677268800001E-4</v>
      </c>
      <c r="BA65" s="47">
        <v>3.7662710979200002E-4</v>
      </c>
      <c r="BB65" s="47">
        <v>-3.8334171520700003E-5</v>
      </c>
      <c r="BC65" s="47">
        <v>2.2320252423700001E-5</v>
      </c>
      <c r="BD65" s="47">
        <v>1.2415888290199999E-4</v>
      </c>
      <c r="BE65" s="47">
        <v>1.00524758564E-4</v>
      </c>
      <c r="BF65" s="47">
        <v>1.0873676294000001E-4</v>
      </c>
      <c r="BG65" s="47">
        <v>1.03142518323E-4</v>
      </c>
      <c r="BH65" s="47">
        <v>9.8060957899500002E-5</v>
      </c>
      <c r="BI65" s="47">
        <v>8.9349177674999999E-4</v>
      </c>
      <c r="BJ65" s="47">
        <v>1.0234533488000001E-3</v>
      </c>
      <c r="BK65" s="47">
        <v>8.4000643010699995E-4</v>
      </c>
      <c r="BL65" s="47">
        <v>4.3362730222099998E-4</v>
      </c>
      <c r="BM65" s="47">
        <v>2.9575188912700002E-4</v>
      </c>
      <c r="BN65" s="47">
        <v>2.4030145318999999E-4</v>
      </c>
    </row>
    <row r="66" spans="1:66">
      <c r="A66" s="47">
        <v>3.7947591984500002E-5</v>
      </c>
      <c r="B66" s="47">
        <v>3.46416804011E-5</v>
      </c>
      <c r="C66" s="47">
        <v>5.0738766385400001E-5</v>
      </c>
      <c r="D66" s="47">
        <v>6.1706602859600004E-5</v>
      </c>
      <c r="E66" s="47">
        <v>7.5235193348500005E-5</v>
      </c>
      <c r="F66" s="47">
        <v>-8.7231611707500004E-6</v>
      </c>
      <c r="G66" s="47">
        <v>-1.1041572930099999E-5</v>
      </c>
      <c r="H66" s="47">
        <v>8.6705451417300005E-6</v>
      </c>
      <c r="I66" s="47">
        <v>1.24103448838E-5</v>
      </c>
      <c r="J66" s="47">
        <v>9.55922423784E-5</v>
      </c>
      <c r="K66" s="47">
        <v>-3.5819828990399998E-5</v>
      </c>
      <c r="L66" s="47">
        <v>-8.3065408774000006E-5</v>
      </c>
      <c r="M66" s="47">
        <v>9.5113659884199996E-6</v>
      </c>
      <c r="N66" s="47">
        <v>2.0837420525300001E-5</v>
      </c>
      <c r="O66" s="47">
        <v>1.0411003731100001E-5</v>
      </c>
      <c r="P66" s="47">
        <v>6.9387191533400004E-6</v>
      </c>
      <c r="Q66" s="47">
        <v>-1.3755808862900001E-6</v>
      </c>
      <c r="R66" s="47">
        <v>-1.17149807327E-5</v>
      </c>
      <c r="S66" s="47">
        <v>1.4752740276500001E-4</v>
      </c>
      <c r="T66" s="47">
        <v>1.8717178406600001E-4</v>
      </c>
      <c r="U66" s="47">
        <v>2.3762279868800001E-4</v>
      </c>
      <c r="V66" s="47">
        <v>1.9512916341999999E-4</v>
      </c>
      <c r="W66" s="47">
        <v>1.58731212625E-4</v>
      </c>
      <c r="X66" s="47">
        <v>1.4014314896200001E-4</v>
      </c>
      <c r="Y66" s="47">
        <v>1.20528150626E-3</v>
      </c>
      <c r="Z66" s="47">
        <v>2.8565736951900001E-4</v>
      </c>
      <c r="AA66" s="47">
        <v>5.0099338543499999E-5</v>
      </c>
      <c r="AB66" s="47">
        <v>9.5414072957299996E-5</v>
      </c>
      <c r="AC66" s="47">
        <v>5.9981569314899999E-5</v>
      </c>
      <c r="AD66" s="47">
        <v>5.7415535037400003E-5</v>
      </c>
      <c r="AE66" s="47">
        <v>4.3127829437899998E-5</v>
      </c>
      <c r="AF66" s="47">
        <v>4.0801877900899998E-5</v>
      </c>
      <c r="AG66" s="47">
        <v>3.2289054784499999E-4</v>
      </c>
      <c r="AH66" s="47">
        <v>3.5391653303200001E-4</v>
      </c>
      <c r="AI66" s="47">
        <v>2.97838410925E-4</v>
      </c>
      <c r="AJ66" s="47">
        <v>1.8115534975100001E-4</v>
      </c>
      <c r="AK66" s="47">
        <v>1.2936638538499999E-4</v>
      </c>
      <c r="AL66" s="47">
        <v>1.0454170577299999E-4</v>
      </c>
      <c r="AM66" s="47">
        <v>1.79852462553E-6</v>
      </c>
      <c r="AN66" s="47">
        <v>-9.0917856462599999E-6</v>
      </c>
      <c r="AO66" s="47">
        <v>-2.8434357003100002E-6</v>
      </c>
      <c r="AP66" s="47">
        <v>3.6823450136200002E-6</v>
      </c>
      <c r="AQ66" s="47">
        <v>6.9702076442700002E-6</v>
      </c>
      <c r="AR66" s="47">
        <v>1.8098081106699998E-5</v>
      </c>
      <c r="AS66" s="47">
        <v>3.09459046513E-5</v>
      </c>
      <c r="AT66" s="47">
        <v>3.4567727505799997E-5</v>
      </c>
      <c r="AU66" s="47">
        <v>3.1230420545099997E-4</v>
      </c>
      <c r="AV66" s="47">
        <v>3.81774654151E-4</v>
      </c>
      <c r="AW66" s="47">
        <v>3.3250877433200002E-4</v>
      </c>
      <c r="AX66" s="47">
        <v>2.1094339368299999E-4</v>
      </c>
      <c r="AY66" s="47">
        <v>1.5846962539900001E-4</v>
      </c>
      <c r="AZ66" s="47">
        <v>1.26986177462E-4</v>
      </c>
      <c r="BA66" s="47">
        <v>1.44744919489E-4</v>
      </c>
      <c r="BB66" s="47">
        <v>-1.28896295678E-4</v>
      </c>
      <c r="BC66" s="47">
        <v>-1.1891704763799999E-5</v>
      </c>
      <c r="BD66" s="47">
        <v>5.7982735575400003E-5</v>
      </c>
      <c r="BE66" s="47">
        <v>4.8802822275799999E-5</v>
      </c>
      <c r="BF66" s="47">
        <v>5.5307551105900001E-5</v>
      </c>
      <c r="BG66" s="47">
        <v>5.3654782321900002E-5</v>
      </c>
      <c r="BH66" s="47">
        <v>5.16329847578E-5</v>
      </c>
      <c r="BI66" s="47">
        <v>4.4833509183699998E-4</v>
      </c>
      <c r="BJ66" s="47">
        <v>5.2124528128599996E-4</v>
      </c>
      <c r="BK66" s="47">
        <v>4.3362730222099998E-4</v>
      </c>
      <c r="BL66" s="47">
        <v>2.3854939570000001E-4</v>
      </c>
      <c r="BM66" s="47">
        <v>1.6587492131999999E-4</v>
      </c>
      <c r="BN66" s="47">
        <v>1.4069082669900001E-4</v>
      </c>
    </row>
    <row r="67" spans="1:66">
      <c r="A67" s="47">
        <v>2.5258481293799998E-5</v>
      </c>
      <c r="B67" s="47">
        <v>2.3527227034900002E-5</v>
      </c>
      <c r="C67" s="47">
        <v>3.4472933016899998E-5</v>
      </c>
      <c r="D67" s="47">
        <v>4.0640965543699997E-5</v>
      </c>
      <c r="E67" s="47">
        <v>4.3780036257699999E-5</v>
      </c>
      <c r="F67" s="47">
        <v>-8.8324293104100005E-6</v>
      </c>
      <c r="G67" s="47">
        <v>-7.17714860687E-6</v>
      </c>
      <c r="H67" s="47">
        <v>5.59922737124E-6</v>
      </c>
      <c r="I67" s="47">
        <v>7.8844760626799992E-6</v>
      </c>
      <c r="J67" s="47">
        <v>6.1741490416200004E-5</v>
      </c>
      <c r="K67" s="47">
        <v>-4.6176709277599998E-5</v>
      </c>
      <c r="L67" s="47">
        <v>-5.3458673842699997E-5</v>
      </c>
      <c r="M67" s="47">
        <v>1.3456181535299999E-5</v>
      </c>
      <c r="N67" s="47">
        <v>2.04112930544E-5</v>
      </c>
      <c r="O67" s="47">
        <v>1.39068544179E-5</v>
      </c>
      <c r="P67" s="47">
        <v>9.3172741770499999E-6</v>
      </c>
      <c r="Q67" s="47">
        <v>2.8210279727300001E-6</v>
      </c>
      <c r="R67" s="47">
        <v>-9.4545084916000003E-6</v>
      </c>
      <c r="S67" s="47">
        <v>1.02771361968E-4</v>
      </c>
      <c r="T67" s="47">
        <v>1.29967616491E-4</v>
      </c>
      <c r="U67" s="47">
        <v>1.6621311073E-4</v>
      </c>
      <c r="V67" s="47">
        <v>1.3855529000000001E-4</v>
      </c>
      <c r="W67" s="47">
        <v>1.13557992839E-4</v>
      </c>
      <c r="X67" s="47">
        <v>1.0025436429E-4</v>
      </c>
      <c r="Y67" s="47">
        <v>6.73533580298E-4</v>
      </c>
      <c r="Z67" s="47">
        <v>1.8057198121899999E-4</v>
      </c>
      <c r="AA67" s="47">
        <v>3.27191177295E-5</v>
      </c>
      <c r="AB67" s="47">
        <v>6.0884730348099999E-5</v>
      </c>
      <c r="AC67" s="47">
        <v>3.7082964502600002E-5</v>
      </c>
      <c r="AD67" s="47">
        <v>3.6795142199799999E-5</v>
      </c>
      <c r="AE67" s="47">
        <v>2.8806657048199999E-5</v>
      </c>
      <c r="AF67" s="47">
        <v>2.8611416319700001E-5</v>
      </c>
      <c r="AG67" s="47">
        <v>2.2255776857699999E-4</v>
      </c>
      <c r="AH67" s="47">
        <v>2.4878274286299997E-4</v>
      </c>
      <c r="AI67" s="47">
        <v>2.0831371909799999E-4</v>
      </c>
      <c r="AJ67" s="47">
        <v>1.2834870160100001E-4</v>
      </c>
      <c r="AK67" s="47">
        <v>9.2834687175600005E-5</v>
      </c>
      <c r="AL67" s="47">
        <v>7.5703703593299999E-5</v>
      </c>
      <c r="AM67" s="47">
        <v>7.1576927237900004E-7</v>
      </c>
      <c r="AN67" s="47">
        <v>-7.83989167409E-6</v>
      </c>
      <c r="AO67" s="47">
        <v>-1.9577884935800001E-6</v>
      </c>
      <c r="AP67" s="47">
        <v>2.2122253180300001E-6</v>
      </c>
      <c r="AQ67" s="47">
        <v>4.1172817773599998E-6</v>
      </c>
      <c r="AR67" s="47">
        <v>1.1922102181100001E-5</v>
      </c>
      <c r="AS67" s="47">
        <v>2.1108360055600002E-5</v>
      </c>
      <c r="AT67" s="47">
        <v>2.4249811565599999E-5</v>
      </c>
      <c r="AU67" s="47">
        <v>2.16967029965E-4</v>
      </c>
      <c r="AV67" s="47">
        <v>2.6804223915500002E-4</v>
      </c>
      <c r="AW67" s="47">
        <v>2.3373695144399999E-4</v>
      </c>
      <c r="AX67" s="47">
        <v>1.51199561867E-4</v>
      </c>
      <c r="AY67" s="47">
        <v>1.1366574005900001E-4</v>
      </c>
      <c r="AZ67" s="47">
        <v>9.0731532401600002E-5</v>
      </c>
      <c r="BA67" s="47">
        <v>1.68289965554E-4</v>
      </c>
      <c r="BB67" s="47">
        <v>-1.0371072545299999E-4</v>
      </c>
      <c r="BC67" s="47">
        <v>-1.08354179243E-5</v>
      </c>
      <c r="BD67" s="47">
        <v>3.53196386974E-5</v>
      </c>
      <c r="BE67" s="47">
        <v>2.9476049202000002E-5</v>
      </c>
      <c r="BF67" s="47">
        <v>3.5527632792400003E-5</v>
      </c>
      <c r="BG67" s="47">
        <v>3.5338442900900003E-5</v>
      </c>
      <c r="BH67" s="47">
        <v>3.4567487584700001E-5</v>
      </c>
      <c r="BI67" s="47">
        <v>2.99839190759E-4</v>
      </c>
      <c r="BJ67" s="47">
        <v>3.5407704282900001E-4</v>
      </c>
      <c r="BK67" s="47">
        <v>2.9575188912700002E-4</v>
      </c>
      <c r="BL67" s="47">
        <v>1.6587492131999999E-4</v>
      </c>
      <c r="BM67" s="47">
        <v>1.18743030248E-4</v>
      </c>
      <c r="BN67" s="47">
        <v>1.01889444918E-4</v>
      </c>
    </row>
    <row r="68" spans="1:66">
      <c r="A68" s="47">
        <v>1.99191104452E-5</v>
      </c>
      <c r="B68" s="47">
        <v>1.88115073346E-5</v>
      </c>
      <c r="C68" s="47">
        <v>2.7421809485E-5</v>
      </c>
      <c r="D68" s="47">
        <v>3.1659853528300002E-5</v>
      </c>
      <c r="E68" s="47">
        <v>3.4411013542799999E-5</v>
      </c>
      <c r="F68" s="47">
        <v>-6.2079498492799996E-6</v>
      </c>
      <c r="G68" s="47">
        <v>-5.5250497098100001E-6</v>
      </c>
      <c r="H68" s="47">
        <v>4.7768722272700003E-6</v>
      </c>
      <c r="I68" s="47">
        <v>6.5832024549599998E-6</v>
      </c>
      <c r="J68" s="47">
        <v>4.3766900166800001E-5</v>
      </c>
      <c r="K68" s="47">
        <v>-5.00974907792E-5</v>
      </c>
      <c r="L68" s="47">
        <v>-5.7803628138199998E-5</v>
      </c>
      <c r="M68" s="47">
        <v>1.5212028094999999E-5</v>
      </c>
      <c r="N68" s="47">
        <v>2.02760368966E-5</v>
      </c>
      <c r="O68" s="47">
        <v>1.5514910248400001E-5</v>
      </c>
      <c r="P68" s="47">
        <v>1.0701769649599999E-5</v>
      </c>
      <c r="Q68" s="47">
        <v>4.9923876319100001E-6</v>
      </c>
      <c r="R68" s="47">
        <v>-3.3348505058000001E-6</v>
      </c>
      <c r="S68" s="47">
        <v>8.7910742364599999E-5</v>
      </c>
      <c r="T68" s="47">
        <v>1.10474545003E-4</v>
      </c>
      <c r="U68" s="47">
        <v>1.4094079499000001E-4</v>
      </c>
      <c r="V68" s="47">
        <v>1.18995912056E-4</v>
      </c>
      <c r="W68" s="47">
        <v>9.8589962818299996E-5</v>
      </c>
      <c r="X68" s="47">
        <v>8.7808985945599994E-5</v>
      </c>
      <c r="Y68" s="47">
        <v>3.79360914179E-4</v>
      </c>
      <c r="Z68" s="47">
        <v>1.16005049527E-4</v>
      </c>
      <c r="AA68" s="47">
        <v>1.6915615879799999E-5</v>
      </c>
      <c r="AB68" s="47">
        <v>4.2691446542299998E-5</v>
      </c>
      <c r="AC68" s="47">
        <v>2.51482011227E-5</v>
      </c>
      <c r="AD68" s="47">
        <v>2.5833060568999999E-5</v>
      </c>
      <c r="AE68" s="47">
        <v>2.1259653715399999E-5</v>
      </c>
      <c r="AF68" s="47">
        <v>2.1988851918000002E-5</v>
      </c>
      <c r="AG68" s="47">
        <v>1.8071843598499999E-4</v>
      </c>
      <c r="AH68" s="47">
        <v>2.0309117910100001E-4</v>
      </c>
      <c r="AI68" s="47">
        <v>1.6949728980600001E-4</v>
      </c>
      <c r="AJ68" s="47">
        <v>1.0611249589000001E-4</v>
      </c>
      <c r="AK68" s="47">
        <v>7.7253273880699994E-5</v>
      </c>
      <c r="AL68" s="47">
        <v>6.3674998884800002E-5</v>
      </c>
      <c r="AM68" s="47">
        <v>1.34574050265E-6</v>
      </c>
      <c r="AN68" s="47">
        <v>-1.37399174053E-5</v>
      </c>
      <c r="AO68" s="47">
        <v>-3.5363234169000002E-6</v>
      </c>
      <c r="AP68" s="47">
        <v>7.6534819967599999E-7</v>
      </c>
      <c r="AQ68" s="47">
        <v>2.4532946601400001E-6</v>
      </c>
      <c r="AR68" s="47">
        <v>8.1623540814599996E-6</v>
      </c>
      <c r="AS68" s="47">
        <v>1.55108732888E-5</v>
      </c>
      <c r="AT68" s="47">
        <v>1.83806130901E-5</v>
      </c>
      <c r="AU68" s="47">
        <v>1.75439055299E-4</v>
      </c>
      <c r="AV68" s="47">
        <v>2.1939012916900001E-4</v>
      </c>
      <c r="AW68" s="47">
        <v>1.9009778253700001E-4</v>
      </c>
      <c r="AX68" s="47">
        <v>1.2464709294399999E-4</v>
      </c>
      <c r="AY68" s="47">
        <v>9.3822621518400003E-5</v>
      </c>
      <c r="AZ68" s="47">
        <v>7.4793756078100004E-5</v>
      </c>
      <c r="BA68" s="47">
        <v>1.03397139681E-4</v>
      </c>
      <c r="BB68" s="47">
        <v>-1.70994862944E-4</v>
      </c>
      <c r="BC68" s="47">
        <v>-3.2730771664499999E-5</v>
      </c>
      <c r="BD68" s="47">
        <v>1.7243175175599999E-5</v>
      </c>
      <c r="BE68" s="47">
        <v>1.6349165780799999E-5</v>
      </c>
      <c r="BF68" s="47">
        <v>2.4026184056699999E-5</v>
      </c>
      <c r="BG68" s="47">
        <v>2.5805681955200001E-5</v>
      </c>
      <c r="BH68" s="47">
        <v>2.6299031295400001E-5</v>
      </c>
      <c r="BI68" s="47">
        <v>2.4417356166199999E-4</v>
      </c>
      <c r="BJ68" s="47">
        <v>2.8618898772000002E-4</v>
      </c>
      <c r="BK68" s="47">
        <v>2.4030145318999999E-4</v>
      </c>
      <c r="BL68" s="47">
        <v>1.4069082669900001E-4</v>
      </c>
      <c r="BM68" s="47">
        <v>1.01889444918E-4</v>
      </c>
      <c r="BN68" s="47">
        <v>9.0574990026599998E-5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B9"/>
  <sheetViews>
    <sheetView workbookViewId="0">
      <selection activeCell="E18" sqref="E18"/>
    </sheetView>
  </sheetViews>
  <sheetFormatPr defaultColWidth="8.81640625" defaultRowHeight="14.5"/>
  <cols>
    <col min="1" max="1" width="11.36328125" style="36" customWidth="1"/>
    <col min="2" max="2" width="9.81640625" style="36" customWidth="1"/>
    <col min="3" max="8" width="8.81640625" style="36"/>
    <col min="9" max="9" width="11.1796875" style="36" bestFit="1" customWidth="1"/>
    <col min="10" max="16384" width="8.81640625" style="36"/>
  </cols>
  <sheetData>
    <row r="1" spans="1:2">
      <c r="A1" s="16" t="s">
        <v>692</v>
      </c>
      <c r="B1" s="16" t="s">
        <v>815</v>
      </c>
    </row>
    <row r="2" spans="1:2">
      <c r="A2" s="36" t="s">
        <v>804</v>
      </c>
      <c r="B2" s="36">
        <v>1.3499506077011808E-3</v>
      </c>
    </row>
    <row r="3" spans="1:2">
      <c r="A3" s="36" t="s">
        <v>805</v>
      </c>
      <c r="B3" s="36">
        <v>-2.5060942137629162E-3</v>
      </c>
    </row>
    <row r="4" spans="1:2">
      <c r="A4" s="36" t="s">
        <v>806</v>
      </c>
      <c r="B4" s="36">
        <v>1.3000396490018215E-3</v>
      </c>
    </row>
    <row r="5" spans="1:2">
      <c r="A5" s="36" t="s">
        <v>721</v>
      </c>
      <c r="B5" s="36">
        <v>-0.01</v>
      </c>
    </row>
    <row r="6" spans="1:2">
      <c r="A6" s="36" t="s">
        <v>722</v>
      </c>
      <c r="B6" s="36">
        <v>-4.430894430524094E-4</v>
      </c>
    </row>
    <row r="7" spans="1:2">
      <c r="A7" s="92" t="s">
        <v>818</v>
      </c>
      <c r="B7" s="36">
        <v>2E-3</v>
      </c>
    </row>
    <row r="8" spans="1:2">
      <c r="A8" s="92" t="s">
        <v>819</v>
      </c>
      <c r="B8" s="36">
        <v>2E-3</v>
      </c>
    </row>
    <row r="9" spans="1:2">
      <c r="A9" s="36" t="s">
        <v>723</v>
      </c>
      <c r="B9" s="36">
        <v>2.51484552148091E-3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theme="9" tint="-0.249977111117893"/>
  </sheetPr>
  <dimension ref="A1:G388"/>
  <sheetViews>
    <sheetView workbookViewId="0">
      <selection activeCell="D9" sqref="D9"/>
    </sheetView>
  </sheetViews>
  <sheetFormatPr defaultColWidth="8.81640625" defaultRowHeight="14.5"/>
  <cols>
    <col min="2" max="2" width="15.81640625" customWidth="1"/>
    <col min="4" max="4" width="17.36328125" bestFit="1" customWidth="1"/>
    <col min="5" max="5" width="13.36328125" bestFit="1" customWidth="1"/>
    <col min="6" max="6" width="28.36328125" customWidth="1"/>
    <col min="7" max="7" width="22.1796875" customWidth="1"/>
  </cols>
  <sheetData>
    <row r="1" spans="1:7">
      <c r="A1" s="16" t="s">
        <v>672</v>
      </c>
      <c r="B1" s="16" t="s">
        <v>822</v>
      </c>
      <c r="C1" s="16" t="s">
        <v>767</v>
      </c>
      <c r="D1" s="16" t="s">
        <v>800</v>
      </c>
      <c r="E1" s="37" t="s">
        <v>809</v>
      </c>
      <c r="F1" s="98" t="s">
        <v>827</v>
      </c>
      <c r="G1" s="98" t="s">
        <v>849</v>
      </c>
    </row>
    <row r="2" spans="1:7">
      <c r="A2" t="s">
        <v>673</v>
      </c>
      <c r="B2" s="28" t="s">
        <v>794</v>
      </c>
      <c r="C2" s="36" t="s">
        <v>763</v>
      </c>
      <c r="D2" s="36"/>
      <c r="E2" s="36" t="s">
        <v>810</v>
      </c>
      <c r="F2" t="s">
        <v>785</v>
      </c>
      <c r="G2" s="126">
        <f>Intro!F5</f>
        <v>41657</v>
      </c>
    </row>
    <row r="3" spans="1:7">
      <c r="A3" t="s">
        <v>674</v>
      </c>
      <c r="B3" s="28" t="s">
        <v>823</v>
      </c>
      <c r="D3" s="36" t="s">
        <v>801</v>
      </c>
      <c r="E3" s="36" t="s">
        <v>811</v>
      </c>
      <c r="F3" t="s">
        <v>783</v>
      </c>
      <c r="G3" s="126">
        <f>G2+1</f>
        <v>41658</v>
      </c>
    </row>
    <row r="4" spans="1:7">
      <c r="A4" t="s">
        <v>675</v>
      </c>
      <c r="B4" s="28" t="s">
        <v>824</v>
      </c>
      <c r="D4" t="s">
        <v>803</v>
      </c>
      <c r="F4" t="s">
        <v>784</v>
      </c>
      <c r="G4" s="126">
        <f>G3+1</f>
        <v>41659</v>
      </c>
    </row>
    <row r="5" spans="1:7">
      <c r="A5" s="36" t="s">
        <v>676</v>
      </c>
      <c r="B5" s="28"/>
      <c r="D5" s="36" t="s">
        <v>831</v>
      </c>
      <c r="G5" s="126">
        <f>G4+1</f>
        <v>41660</v>
      </c>
    </row>
    <row r="6" spans="1:7">
      <c r="B6" s="28"/>
      <c r="D6" s="36" t="s">
        <v>833</v>
      </c>
      <c r="G6" s="126">
        <f>G5+1</f>
        <v>41661</v>
      </c>
    </row>
    <row r="7" spans="1:7">
      <c r="B7" s="28"/>
      <c r="D7" s="36"/>
      <c r="G7" s="126">
        <f t="shared" ref="G7:G70" si="0">G6+1</f>
        <v>41662</v>
      </c>
    </row>
    <row r="8" spans="1:7">
      <c r="B8" s="28"/>
      <c r="D8" s="36" t="s">
        <v>834</v>
      </c>
      <c r="G8" s="126">
        <f t="shared" si="0"/>
        <v>41663</v>
      </c>
    </row>
    <row r="9" spans="1:7">
      <c r="G9" s="126">
        <f t="shared" si="0"/>
        <v>41664</v>
      </c>
    </row>
    <row r="10" spans="1:7">
      <c r="G10" s="126">
        <f t="shared" si="0"/>
        <v>41665</v>
      </c>
    </row>
    <row r="11" spans="1:7">
      <c r="G11" s="126">
        <f t="shared" si="0"/>
        <v>41666</v>
      </c>
    </row>
    <row r="12" spans="1:7">
      <c r="G12" s="126">
        <f t="shared" si="0"/>
        <v>41667</v>
      </c>
    </row>
    <row r="13" spans="1:7">
      <c r="G13" s="126">
        <f t="shared" si="0"/>
        <v>41668</v>
      </c>
    </row>
    <row r="14" spans="1:7">
      <c r="G14" s="126">
        <f t="shared" si="0"/>
        <v>41669</v>
      </c>
    </row>
    <row r="15" spans="1:7">
      <c r="G15" s="126">
        <f t="shared" si="0"/>
        <v>41670</v>
      </c>
    </row>
    <row r="16" spans="1:7">
      <c r="G16" s="126">
        <f t="shared" si="0"/>
        <v>41671</v>
      </c>
    </row>
    <row r="17" spans="7:7">
      <c r="G17" s="126">
        <f t="shared" si="0"/>
        <v>41672</v>
      </c>
    </row>
    <row r="18" spans="7:7">
      <c r="G18" s="126">
        <f t="shared" si="0"/>
        <v>41673</v>
      </c>
    </row>
    <row r="19" spans="7:7">
      <c r="G19" s="126">
        <f t="shared" si="0"/>
        <v>41674</v>
      </c>
    </row>
    <row r="20" spans="7:7">
      <c r="G20" s="126">
        <f t="shared" si="0"/>
        <v>41675</v>
      </c>
    </row>
    <row r="21" spans="7:7">
      <c r="G21" s="126">
        <f t="shared" si="0"/>
        <v>41676</v>
      </c>
    </row>
    <row r="22" spans="7:7">
      <c r="G22" s="126">
        <f t="shared" si="0"/>
        <v>41677</v>
      </c>
    </row>
    <row r="23" spans="7:7">
      <c r="G23" s="126">
        <f t="shared" si="0"/>
        <v>41678</v>
      </c>
    </row>
    <row r="24" spans="7:7">
      <c r="G24" s="126">
        <f t="shared" si="0"/>
        <v>41679</v>
      </c>
    </row>
    <row r="25" spans="7:7">
      <c r="G25" s="126">
        <f t="shared" si="0"/>
        <v>41680</v>
      </c>
    </row>
    <row r="26" spans="7:7">
      <c r="G26" s="126">
        <f t="shared" si="0"/>
        <v>41681</v>
      </c>
    </row>
    <row r="27" spans="7:7">
      <c r="G27" s="126">
        <f t="shared" si="0"/>
        <v>41682</v>
      </c>
    </row>
    <row r="28" spans="7:7">
      <c r="G28" s="126">
        <f t="shared" si="0"/>
        <v>41683</v>
      </c>
    </row>
    <row r="29" spans="7:7">
      <c r="G29" s="126">
        <f t="shared" si="0"/>
        <v>41684</v>
      </c>
    </row>
    <row r="30" spans="7:7">
      <c r="G30" s="126">
        <f t="shared" si="0"/>
        <v>41685</v>
      </c>
    </row>
    <row r="31" spans="7:7">
      <c r="G31" s="126">
        <f t="shared" si="0"/>
        <v>41686</v>
      </c>
    </row>
    <row r="32" spans="7:7">
      <c r="G32" s="126">
        <f t="shared" si="0"/>
        <v>41687</v>
      </c>
    </row>
    <row r="33" spans="7:7">
      <c r="G33" s="126">
        <f t="shared" si="0"/>
        <v>41688</v>
      </c>
    </row>
    <row r="34" spans="7:7">
      <c r="G34" s="126">
        <f t="shared" si="0"/>
        <v>41689</v>
      </c>
    </row>
    <row r="35" spans="7:7">
      <c r="G35" s="126">
        <f t="shared" si="0"/>
        <v>41690</v>
      </c>
    </row>
    <row r="36" spans="7:7">
      <c r="G36" s="126">
        <f t="shared" si="0"/>
        <v>41691</v>
      </c>
    </row>
    <row r="37" spans="7:7">
      <c r="G37" s="126">
        <f t="shared" si="0"/>
        <v>41692</v>
      </c>
    </row>
    <row r="38" spans="7:7">
      <c r="G38" s="126">
        <f t="shared" si="0"/>
        <v>41693</v>
      </c>
    </row>
    <row r="39" spans="7:7">
      <c r="G39" s="126">
        <f t="shared" si="0"/>
        <v>41694</v>
      </c>
    </row>
    <row r="40" spans="7:7">
      <c r="G40" s="126">
        <f t="shared" si="0"/>
        <v>41695</v>
      </c>
    </row>
    <row r="41" spans="7:7">
      <c r="G41" s="126">
        <f t="shared" si="0"/>
        <v>41696</v>
      </c>
    </row>
    <row r="42" spans="7:7">
      <c r="G42" s="126">
        <f t="shared" si="0"/>
        <v>41697</v>
      </c>
    </row>
    <row r="43" spans="7:7">
      <c r="G43" s="126">
        <f t="shared" si="0"/>
        <v>41698</v>
      </c>
    </row>
    <row r="44" spans="7:7">
      <c r="G44" s="126">
        <f t="shared" si="0"/>
        <v>41699</v>
      </c>
    </row>
    <row r="45" spans="7:7">
      <c r="G45" s="126">
        <f t="shared" si="0"/>
        <v>41700</v>
      </c>
    </row>
    <row r="46" spans="7:7">
      <c r="G46" s="126">
        <f t="shared" si="0"/>
        <v>41701</v>
      </c>
    </row>
    <row r="47" spans="7:7">
      <c r="G47" s="126">
        <f t="shared" si="0"/>
        <v>41702</v>
      </c>
    </row>
    <row r="48" spans="7:7">
      <c r="G48" s="126">
        <f t="shared" si="0"/>
        <v>41703</v>
      </c>
    </row>
    <row r="49" spans="7:7">
      <c r="G49" s="126">
        <f t="shared" si="0"/>
        <v>41704</v>
      </c>
    </row>
    <row r="50" spans="7:7">
      <c r="G50" s="126">
        <f t="shared" si="0"/>
        <v>41705</v>
      </c>
    </row>
    <row r="51" spans="7:7">
      <c r="G51" s="126">
        <f t="shared" si="0"/>
        <v>41706</v>
      </c>
    </row>
    <row r="52" spans="7:7">
      <c r="G52" s="126">
        <f t="shared" si="0"/>
        <v>41707</v>
      </c>
    </row>
    <row r="53" spans="7:7">
      <c r="G53" s="126">
        <f t="shared" si="0"/>
        <v>41708</v>
      </c>
    </row>
    <row r="54" spans="7:7">
      <c r="G54" s="126">
        <f t="shared" si="0"/>
        <v>41709</v>
      </c>
    </row>
    <row r="55" spans="7:7">
      <c r="G55" s="126">
        <f t="shared" si="0"/>
        <v>41710</v>
      </c>
    </row>
    <row r="56" spans="7:7">
      <c r="G56" s="126">
        <f t="shared" si="0"/>
        <v>41711</v>
      </c>
    </row>
    <row r="57" spans="7:7">
      <c r="G57" s="126">
        <f t="shared" si="0"/>
        <v>41712</v>
      </c>
    </row>
    <row r="58" spans="7:7">
      <c r="G58" s="126">
        <f t="shared" si="0"/>
        <v>41713</v>
      </c>
    </row>
    <row r="59" spans="7:7">
      <c r="G59" s="126">
        <f t="shared" si="0"/>
        <v>41714</v>
      </c>
    </row>
    <row r="60" spans="7:7">
      <c r="G60" s="126">
        <f t="shared" si="0"/>
        <v>41715</v>
      </c>
    </row>
    <row r="61" spans="7:7">
      <c r="G61" s="126">
        <f t="shared" si="0"/>
        <v>41716</v>
      </c>
    </row>
    <row r="62" spans="7:7">
      <c r="G62" s="126">
        <f t="shared" si="0"/>
        <v>41717</v>
      </c>
    </row>
    <row r="63" spans="7:7">
      <c r="G63" s="126">
        <f t="shared" si="0"/>
        <v>41718</v>
      </c>
    </row>
    <row r="64" spans="7:7">
      <c r="G64" s="126">
        <f t="shared" si="0"/>
        <v>41719</v>
      </c>
    </row>
    <row r="65" spans="7:7">
      <c r="G65" s="126">
        <f t="shared" si="0"/>
        <v>41720</v>
      </c>
    </row>
    <row r="66" spans="7:7">
      <c r="G66" s="126">
        <f t="shared" si="0"/>
        <v>41721</v>
      </c>
    </row>
    <row r="67" spans="7:7">
      <c r="G67" s="126">
        <f t="shared" si="0"/>
        <v>41722</v>
      </c>
    </row>
    <row r="68" spans="7:7">
      <c r="G68" s="126">
        <f t="shared" si="0"/>
        <v>41723</v>
      </c>
    </row>
    <row r="69" spans="7:7">
      <c r="G69" s="126">
        <f t="shared" si="0"/>
        <v>41724</v>
      </c>
    </row>
    <row r="70" spans="7:7">
      <c r="G70" s="126">
        <f t="shared" si="0"/>
        <v>41725</v>
      </c>
    </row>
    <row r="71" spans="7:7">
      <c r="G71" s="126">
        <f t="shared" ref="G71:G134" si="1">G70+1</f>
        <v>41726</v>
      </c>
    </row>
    <row r="72" spans="7:7">
      <c r="G72" s="126">
        <f t="shared" si="1"/>
        <v>41727</v>
      </c>
    </row>
    <row r="73" spans="7:7">
      <c r="G73" s="126">
        <f t="shared" si="1"/>
        <v>41728</v>
      </c>
    </row>
    <row r="74" spans="7:7">
      <c r="G74" s="126">
        <f t="shared" si="1"/>
        <v>41729</v>
      </c>
    </row>
    <row r="75" spans="7:7">
      <c r="G75" s="126">
        <f t="shared" si="1"/>
        <v>41730</v>
      </c>
    </row>
    <row r="76" spans="7:7">
      <c r="G76" s="126">
        <f t="shared" si="1"/>
        <v>41731</v>
      </c>
    </row>
    <row r="77" spans="7:7">
      <c r="G77" s="126">
        <f t="shared" si="1"/>
        <v>41732</v>
      </c>
    </row>
    <row r="78" spans="7:7">
      <c r="G78" s="126">
        <f t="shared" si="1"/>
        <v>41733</v>
      </c>
    </row>
    <row r="79" spans="7:7">
      <c r="G79" s="126">
        <f t="shared" si="1"/>
        <v>41734</v>
      </c>
    </row>
    <row r="80" spans="7:7">
      <c r="G80" s="126">
        <f t="shared" si="1"/>
        <v>41735</v>
      </c>
    </row>
    <row r="81" spans="7:7">
      <c r="G81" s="126">
        <f t="shared" si="1"/>
        <v>41736</v>
      </c>
    </row>
    <row r="82" spans="7:7">
      <c r="G82" s="126">
        <f t="shared" si="1"/>
        <v>41737</v>
      </c>
    </row>
    <row r="83" spans="7:7">
      <c r="G83" s="126">
        <f t="shared" si="1"/>
        <v>41738</v>
      </c>
    </row>
    <row r="84" spans="7:7">
      <c r="G84" s="126">
        <f t="shared" si="1"/>
        <v>41739</v>
      </c>
    </row>
    <row r="85" spans="7:7">
      <c r="G85" s="126">
        <f t="shared" si="1"/>
        <v>41740</v>
      </c>
    </row>
    <row r="86" spans="7:7">
      <c r="G86" s="126">
        <f t="shared" si="1"/>
        <v>41741</v>
      </c>
    </row>
    <row r="87" spans="7:7">
      <c r="G87" s="126">
        <f t="shared" si="1"/>
        <v>41742</v>
      </c>
    </row>
    <row r="88" spans="7:7">
      <c r="G88" s="126">
        <f t="shared" si="1"/>
        <v>41743</v>
      </c>
    </row>
    <row r="89" spans="7:7">
      <c r="G89" s="126">
        <f t="shared" si="1"/>
        <v>41744</v>
      </c>
    </row>
    <row r="90" spans="7:7">
      <c r="G90" s="126">
        <f t="shared" si="1"/>
        <v>41745</v>
      </c>
    </row>
    <row r="91" spans="7:7">
      <c r="G91" s="126">
        <f t="shared" si="1"/>
        <v>41746</v>
      </c>
    </row>
    <row r="92" spans="7:7">
      <c r="G92" s="126">
        <f t="shared" si="1"/>
        <v>41747</v>
      </c>
    </row>
    <row r="93" spans="7:7">
      <c r="G93" s="126">
        <f t="shared" si="1"/>
        <v>41748</v>
      </c>
    </row>
    <row r="94" spans="7:7">
      <c r="G94" s="126">
        <f t="shared" si="1"/>
        <v>41749</v>
      </c>
    </row>
    <row r="95" spans="7:7">
      <c r="G95" s="126">
        <f t="shared" si="1"/>
        <v>41750</v>
      </c>
    </row>
    <row r="96" spans="7:7">
      <c r="G96" s="126">
        <f t="shared" si="1"/>
        <v>41751</v>
      </c>
    </row>
    <row r="97" spans="7:7">
      <c r="G97" s="126">
        <f t="shared" si="1"/>
        <v>41752</v>
      </c>
    </row>
    <row r="98" spans="7:7">
      <c r="G98" s="126">
        <f t="shared" si="1"/>
        <v>41753</v>
      </c>
    </row>
    <row r="99" spans="7:7">
      <c r="G99" s="126">
        <f t="shared" si="1"/>
        <v>41754</v>
      </c>
    </row>
    <row r="100" spans="7:7">
      <c r="G100" s="126">
        <f t="shared" si="1"/>
        <v>41755</v>
      </c>
    </row>
    <row r="101" spans="7:7">
      <c r="G101" s="126">
        <f t="shared" si="1"/>
        <v>41756</v>
      </c>
    </row>
    <row r="102" spans="7:7">
      <c r="G102" s="126">
        <f t="shared" si="1"/>
        <v>41757</v>
      </c>
    </row>
    <row r="103" spans="7:7">
      <c r="G103" s="126">
        <f t="shared" si="1"/>
        <v>41758</v>
      </c>
    </row>
    <row r="104" spans="7:7">
      <c r="G104" s="126">
        <f t="shared" si="1"/>
        <v>41759</v>
      </c>
    </row>
    <row r="105" spans="7:7">
      <c r="G105" s="126">
        <f t="shared" si="1"/>
        <v>41760</v>
      </c>
    </row>
    <row r="106" spans="7:7">
      <c r="G106" s="126">
        <f t="shared" si="1"/>
        <v>41761</v>
      </c>
    </row>
    <row r="107" spans="7:7">
      <c r="G107" s="126">
        <f t="shared" si="1"/>
        <v>41762</v>
      </c>
    </row>
    <row r="108" spans="7:7">
      <c r="G108" s="126">
        <f t="shared" si="1"/>
        <v>41763</v>
      </c>
    </row>
    <row r="109" spans="7:7">
      <c r="G109" s="126">
        <f t="shared" si="1"/>
        <v>41764</v>
      </c>
    </row>
    <row r="110" spans="7:7">
      <c r="G110" s="126">
        <f t="shared" si="1"/>
        <v>41765</v>
      </c>
    </row>
    <row r="111" spans="7:7">
      <c r="G111" s="126">
        <f t="shared" si="1"/>
        <v>41766</v>
      </c>
    </row>
    <row r="112" spans="7:7">
      <c r="G112" s="126">
        <f t="shared" si="1"/>
        <v>41767</v>
      </c>
    </row>
    <row r="113" spans="7:7">
      <c r="G113" s="126">
        <f t="shared" si="1"/>
        <v>41768</v>
      </c>
    </row>
    <row r="114" spans="7:7">
      <c r="G114" s="126">
        <f t="shared" si="1"/>
        <v>41769</v>
      </c>
    </row>
    <row r="115" spans="7:7">
      <c r="G115" s="126">
        <f t="shared" si="1"/>
        <v>41770</v>
      </c>
    </row>
    <row r="116" spans="7:7">
      <c r="G116" s="126">
        <f t="shared" si="1"/>
        <v>41771</v>
      </c>
    </row>
    <row r="117" spans="7:7">
      <c r="G117" s="126">
        <f t="shared" si="1"/>
        <v>41772</v>
      </c>
    </row>
    <row r="118" spans="7:7">
      <c r="G118" s="126">
        <f t="shared" si="1"/>
        <v>41773</v>
      </c>
    </row>
    <row r="119" spans="7:7">
      <c r="G119" s="126">
        <f t="shared" si="1"/>
        <v>41774</v>
      </c>
    </row>
    <row r="120" spans="7:7">
      <c r="G120" s="126">
        <f t="shared" si="1"/>
        <v>41775</v>
      </c>
    </row>
    <row r="121" spans="7:7">
      <c r="G121" s="126">
        <f t="shared" si="1"/>
        <v>41776</v>
      </c>
    </row>
    <row r="122" spans="7:7">
      <c r="G122" s="126">
        <f t="shared" si="1"/>
        <v>41777</v>
      </c>
    </row>
    <row r="123" spans="7:7">
      <c r="G123" s="126">
        <f t="shared" si="1"/>
        <v>41778</v>
      </c>
    </row>
    <row r="124" spans="7:7">
      <c r="G124" s="126">
        <f t="shared" si="1"/>
        <v>41779</v>
      </c>
    </row>
    <row r="125" spans="7:7">
      <c r="G125" s="126">
        <f t="shared" si="1"/>
        <v>41780</v>
      </c>
    </row>
    <row r="126" spans="7:7">
      <c r="G126" s="126">
        <f t="shared" si="1"/>
        <v>41781</v>
      </c>
    </row>
    <row r="127" spans="7:7">
      <c r="G127" s="126">
        <f t="shared" si="1"/>
        <v>41782</v>
      </c>
    </row>
    <row r="128" spans="7:7">
      <c r="G128" s="126">
        <f t="shared" si="1"/>
        <v>41783</v>
      </c>
    </row>
    <row r="129" spans="7:7">
      <c r="G129" s="126">
        <f t="shared" si="1"/>
        <v>41784</v>
      </c>
    </row>
    <row r="130" spans="7:7">
      <c r="G130" s="126">
        <f t="shared" si="1"/>
        <v>41785</v>
      </c>
    </row>
    <row r="131" spans="7:7">
      <c r="G131" s="126">
        <f t="shared" si="1"/>
        <v>41786</v>
      </c>
    </row>
    <row r="132" spans="7:7">
      <c r="G132" s="126">
        <f t="shared" si="1"/>
        <v>41787</v>
      </c>
    </row>
    <row r="133" spans="7:7">
      <c r="G133" s="126">
        <f t="shared" si="1"/>
        <v>41788</v>
      </c>
    </row>
    <row r="134" spans="7:7">
      <c r="G134" s="126">
        <f t="shared" si="1"/>
        <v>41789</v>
      </c>
    </row>
    <row r="135" spans="7:7">
      <c r="G135" s="126">
        <f t="shared" ref="G135:G198" si="2">G134+1</f>
        <v>41790</v>
      </c>
    </row>
    <row r="136" spans="7:7">
      <c r="G136" s="126">
        <f t="shared" si="2"/>
        <v>41791</v>
      </c>
    </row>
    <row r="137" spans="7:7">
      <c r="G137" s="126">
        <f t="shared" si="2"/>
        <v>41792</v>
      </c>
    </row>
    <row r="138" spans="7:7">
      <c r="G138" s="126">
        <f t="shared" si="2"/>
        <v>41793</v>
      </c>
    </row>
    <row r="139" spans="7:7">
      <c r="G139" s="126">
        <f t="shared" si="2"/>
        <v>41794</v>
      </c>
    </row>
    <row r="140" spans="7:7">
      <c r="G140" s="126">
        <f t="shared" si="2"/>
        <v>41795</v>
      </c>
    </row>
    <row r="141" spans="7:7">
      <c r="G141" s="126">
        <f t="shared" si="2"/>
        <v>41796</v>
      </c>
    </row>
    <row r="142" spans="7:7">
      <c r="G142" s="126">
        <f t="shared" si="2"/>
        <v>41797</v>
      </c>
    </row>
    <row r="143" spans="7:7">
      <c r="G143" s="126">
        <f t="shared" si="2"/>
        <v>41798</v>
      </c>
    </row>
    <row r="144" spans="7:7">
      <c r="G144" s="126">
        <f t="shared" si="2"/>
        <v>41799</v>
      </c>
    </row>
    <row r="145" spans="7:7">
      <c r="G145" s="126">
        <f t="shared" si="2"/>
        <v>41800</v>
      </c>
    </row>
    <row r="146" spans="7:7">
      <c r="G146" s="126">
        <f t="shared" si="2"/>
        <v>41801</v>
      </c>
    </row>
    <row r="147" spans="7:7">
      <c r="G147" s="126">
        <f t="shared" si="2"/>
        <v>41802</v>
      </c>
    </row>
    <row r="148" spans="7:7">
      <c r="G148" s="126">
        <f t="shared" si="2"/>
        <v>41803</v>
      </c>
    </row>
    <row r="149" spans="7:7">
      <c r="G149" s="126">
        <f t="shared" si="2"/>
        <v>41804</v>
      </c>
    </row>
    <row r="150" spans="7:7">
      <c r="G150" s="126">
        <f t="shared" si="2"/>
        <v>41805</v>
      </c>
    </row>
    <row r="151" spans="7:7">
      <c r="G151" s="126">
        <f t="shared" si="2"/>
        <v>41806</v>
      </c>
    </row>
    <row r="152" spans="7:7">
      <c r="G152" s="126">
        <f t="shared" si="2"/>
        <v>41807</v>
      </c>
    </row>
    <row r="153" spans="7:7">
      <c r="G153" s="126">
        <f t="shared" si="2"/>
        <v>41808</v>
      </c>
    </row>
    <row r="154" spans="7:7">
      <c r="G154" s="126">
        <f t="shared" si="2"/>
        <v>41809</v>
      </c>
    </row>
    <row r="155" spans="7:7">
      <c r="G155" s="126">
        <f t="shared" si="2"/>
        <v>41810</v>
      </c>
    </row>
    <row r="156" spans="7:7">
      <c r="G156" s="126">
        <f t="shared" si="2"/>
        <v>41811</v>
      </c>
    </row>
    <row r="157" spans="7:7">
      <c r="G157" s="126">
        <f t="shared" si="2"/>
        <v>41812</v>
      </c>
    </row>
    <row r="158" spans="7:7">
      <c r="G158" s="126">
        <f t="shared" si="2"/>
        <v>41813</v>
      </c>
    </row>
    <row r="159" spans="7:7">
      <c r="G159" s="126">
        <f t="shared" si="2"/>
        <v>41814</v>
      </c>
    </row>
    <row r="160" spans="7:7">
      <c r="G160" s="126">
        <f t="shared" si="2"/>
        <v>41815</v>
      </c>
    </row>
    <row r="161" spans="7:7">
      <c r="G161" s="126">
        <f t="shared" si="2"/>
        <v>41816</v>
      </c>
    </row>
    <row r="162" spans="7:7">
      <c r="G162" s="126">
        <f t="shared" si="2"/>
        <v>41817</v>
      </c>
    </row>
    <row r="163" spans="7:7">
      <c r="G163" s="126">
        <f t="shared" si="2"/>
        <v>41818</v>
      </c>
    </row>
    <row r="164" spans="7:7">
      <c r="G164" s="126">
        <f t="shared" si="2"/>
        <v>41819</v>
      </c>
    </row>
    <row r="165" spans="7:7">
      <c r="G165" s="126">
        <f t="shared" si="2"/>
        <v>41820</v>
      </c>
    </row>
    <row r="166" spans="7:7">
      <c r="G166" s="126">
        <f t="shared" si="2"/>
        <v>41821</v>
      </c>
    </row>
    <row r="167" spans="7:7">
      <c r="G167" s="126">
        <f t="shared" si="2"/>
        <v>41822</v>
      </c>
    </row>
    <row r="168" spans="7:7">
      <c r="G168" s="126">
        <f t="shared" si="2"/>
        <v>41823</v>
      </c>
    </row>
    <row r="169" spans="7:7">
      <c r="G169" s="126">
        <f t="shared" si="2"/>
        <v>41824</v>
      </c>
    </row>
    <row r="170" spans="7:7">
      <c r="G170" s="126">
        <f t="shared" si="2"/>
        <v>41825</v>
      </c>
    </row>
    <row r="171" spans="7:7">
      <c r="G171" s="126">
        <f t="shared" si="2"/>
        <v>41826</v>
      </c>
    </row>
    <row r="172" spans="7:7">
      <c r="G172" s="126">
        <f t="shared" si="2"/>
        <v>41827</v>
      </c>
    </row>
    <row r="173" spans="7:7">
      <c r="G173" s="126">
        <f t="shared" si="2"/>
        <v>41828</v>
      </c>
    </row>
    <row r="174" spans="7:7">
      <c r="G174" s="126">
        <f t="shared" si="2"/>
        <v>41829</v>
      </c>
    </row>
    <row r="175" spans="7:7">
      <c r="G175" s="126">
        <f t="shared" si="2"/>
        <v>41830</v>
      </c>
    </row>
    <row r="176" spans="7:7">
      <c r="G176" s="126">
        <f t="shared" si="2"/>
        <v>41831</v>
      </c>
    </row>
    <row r="177" spans="7:7">
      <c r="G177" s="126">
        <f t="shared" si="2"/>
        <v>41832</v>
      </c>
    </row>
    <row r="178" spans="7:7">
      <c r="G178" s="126">
        <f t="shared" si="2"/>
        <v>41833</v>
      </c>
    </row>
    <row r="179" spans="7:7">
      <c r="G179" s="126">
        <f t="shared" si="2"/>
        <v>41834</v>
      </c>
    </row>
    <row r="180" spans="7:7">
      <c r="G180" s="126">
        <f t="shared" si="2"/>
        <v>41835</v>
      </c>
    </row>
    <row r="181" spans="7:7">
      <c r="G181" s="126">
        <f t="shared" si="2"/>
        <v>41836</v>
      </c>
    </row>
    <row r="182" spans="7:7">
      <c r="G182" s="126">
        <f t="shared" si="2"/>
        <v>41837</v>
      </c>
    </row>
    <row r="183" spans="7:7">
      <c r="G183" s="126">
        <f t="shared" si="2"/>
        <v>41838</v>
      </c>
    </row>
    <row r="184" spans="7:7">
      <c r="G184" s="126">
        <f t="shared" si="2"/>
        <v>41839</v>
      </c>
    </row>
    <row r="185" spans="7:7">
      <c r="G185" s="126">
        <f t="shared" si="2"/>
        <v>41840</v>
      </c>
    </row>
    <row r="186" spans="7:7">
      <c r="G186" s="126">
        <f t="shared" si="2"/>
        <v>41841</v>
      </c>
    </row>
    <row r="187" spans="7:7">
      <c r="G187" s="126">
        <f t="shared" si="2"/>
        <v>41842</v>
      </c>
    </row>
    <row r="188" spans="7:7">
      <c r="G188" s="126">
        <f t="shared" si="2"/>
        <v>41843</v>
      </c>
    </row>
    <row r="189" spans="7:7">
      <c r="G189" s="126">
        <f t="shared" si="2"/>
        <v>41844</v>
      </c>
    </row>
    <row r="190" spans="7:7">
      <c r="G190" s="126">
        <f t="shared" si="2"/>
        <v>41845</v>
      </c>
    </row>
    <row r="191" spans="7:7">
      <c r="G191" s="126">
        <f t="shared" si="2"/>
        <v>41846</v>
      </c>
    </row>
    <row r="192" spans="7:7">
      <c r="G192" s="126">
        <f t="shared" si="2"/>
        <v>41847</v>
      </c>
    </row>
    <row r="193" spans="7:7">
      <c r="G193" s="126">
        <f t="shared" si="2"/>
        <v>41848</v>
      </c>
    </row>
    <row r="194" spans="7:7">
      <c r="G194" s="126">
        <f t="shared" si="2"/>
        <v>41849</v>
      </c>
    </row>
    <row r="195" spans="7:7">
      <c r="G195" s="126">
        <f t="shared" si="2"/>
        <v>41850</v>
      </c>
    </row>
    <row r="196" spans="7:7">
      <c r="G196" s="126">
        <f t="shared" si="2"/>
        <v>41851</v>
      </c>
    </row>
    <row r="197" spans="7:7">
      <c r="G197" s="126">
        <f t="shared" si="2"/>
        <v>41852</v>
      </c>
    </row>
    <row r="198" spans="7:7">
      <c r="G198" s="126">
        <f t="shared" si="2"/>
        <v>41853</v>
      </c>
    </row>
    <row r="199" spans="7:7">
      <c r="G199" s="126">
        <f t="shared" ref="G199:G262" si="3">G198+1</f>
        <v>41854</v>
      </c>
    </row>
    <row r="200" spans="7:7">
      <c r="G200" s="126">
        <f t="shared" si="3"/>
        <v>41855</v>
      </c>
    </row>
    <row r="201" spans="7:7">
      <c r="G201" s="126">
        <f t="shared" si="3"/>
        <v>41856</v>
      </c>
    </row>
    <row r="202" spans="7:7">
      <c r="G202" s="126">
        <f t="shared" si="3"/>
        <v>41857</v>
      </c>
    </row>
    <row r="203" spans="7:7">
      <c r="G203" s="126">
        <f t="shared" si="3"/>
        <v>41858</v>
      </c>
    </row>
    <row r="204" spans="7:7">
      <c r="G204" s="126">
        <f t="shared" si="3"/>
        <v>41859</v>
      </c>
    </row>
    <row r="205" spans="7:7">
      <c r="G205" s="126">
        <f t="shared" si="3"/>
        <v>41860</v>
      </c>
    </row>
    <row r="206" spans="7:7">
      <c r="G206" s="126">
        <f t="shared" si="3"/>
        <v>41861</v>
      </c>
    </row>
    <row r="207" spans="7:7">
      <c r="G207" s="126">
        <f t="shared" si="3"/>
        <v>41862</v>
      </c>
    </row>
    <row r="208" spans="7:7">
      <c r="G208" s="126">
        <f t="shared" si="3"/>
        <v>41863</v>
      </c>
    </row>
    <row r="209" spans="7:7">
      <c r="G209" s="126">
        <f t="shared" si="3"/>
        <v>41864</v>
      </c>
    </row>
    <row r="210" spans="7:7">
      <c r="G210" s="126">
        <f t="shared" si="3"/>
        <v>41865</v>
      </c>
    </row>
    <row r="211" spans="7:7">
      <c r="G211" s="126">
        <f t="shared" si="3"/>
        <v>41866</v>
      </c>
    </row>
    <row r="212" spans="7:7">
      <c r="G212" s="126">
        <f t="shared" si="3"/>
        <v>41867</v>
      </c>
    </row>
    <row r="213" spans="7:7">
      <c r="G213" s="126">
        <f t="shared" si="3"/>
        <v>41868</v>
      </c>
    </row>
    <row r="214" spans="7:7">
      <c r="G214" s="126">
        <f t="shared" si="3"/>
        <v>41869</v>
      </c>
    </row>
    <row r="215" spans="7:7">
      <c r="G215" s="126">
        <f t="shared" si="3"/>
        <v>41870</v>
      </c>
    </row>
    <row r="216" spans="7:7">
      <c r="G216" s="126">
        <f t="shared" si="3"/>
        <v>41871</v>
      </c>
    </row>
    <row r="217" spans="7:7">
      <c r="G217" s="126">
        <f t="shared" si="3"/>
        <v>41872</v>
      </c>
    </row>
    <row r="218" spans="7:7">
      <c r="G218" s="126">
        <f t="shared" si="3"/>
        <v>41873</v>
      </c>
    </row>
    <row r="219" spans="7:7">
      <c r="G219" s="126">
        <f t="shared" si="3"/>
        <v>41874</v>
      </c>
    </row>
    <row r="220" spans="7:7">
      <c r="G220" s="126">
        <f t="shared" si="3"/>
        <v>41875</v>
      </c>
    </row>
    <row r="221" spans="7:7">
      <c r="G221" s="126">
        <f t="shared" si="3"/>
        <v>41876</v>
      </c>
    </row>
    <row r="222" spans="7:7">
      <c r="G222" s="126">
        <f t="shared" si="3"/>
        <v>41877</v>
      </c>
    </row>
    <row r="223" spans="7:7">
      <c r="G223" s="126">
        <f t="shared" si="3"/>
        <v>41878</v>
      </c>
    </row>
    <row r="224" spans="7:7">
      <c r="G224" s="126">
        <f t="shared" si="3"/>
        <v>41879</v>
      </c>
    </row>
    <row r="225" spans="7:7">
      <c r="G225" s="126">
        <f t="shared" si="3"/>
        <v>41880</v>
      </c>
    </row>
    <row r="226" spans="7:7">
      <c r="G226" s="126">
        <f t="shared" si="3"/>
        <v>41881</v>
      </c>
    </row>
    <row r="227" spans="7:7">
      <c r="G227" s="126">
        <f t="shared" si="3"/>
        <v>41882</v>
      </c>
    </row>
    <row r="228" spans="7:7">
      <c r="G228" s="126">
        <f t="shared" si="3"/>
        <v>41883</v>
      </c>
    </row>
    <row r="229" spans="7:7">
      <c r="G229" s="126">
        <f t="shared" si="3"/>
        <v>41884</v>
      </c>
    </row>
    <row r="230" spans="7:7">
      <c r="G230" s="126">
        <f t="shared" si="3"/>
        <v>41885</v>
      </c>
    </row>
    <row r="231" spans="7:7">
      <c r="G231" s="126">
        <f t="shared" si="3"/>
        <v>41886</v>
      </c>
    </row>
    <row r="232" spans="7:7">
      <c r="G232" s="126">
        <f t="shared" si="3"/>
        <v>41887</v>
      </c>
    </row>
    <row r="233" spans="7:7">
      <c r="G233" s="126">
        <f t="shared" si="3"/>
        <v>41888</v>
      </c>
    </row>
    <row r="234" spans="7:7">
      <c r="G234" s="126">
        <f t="shared" si="3"/>
        <v>41889</v>
      </c>
    </row>
    <row r="235" spans="7:7">
      <c r="G235" s="126">
        <f t="shared" si="3"/>
        <v>41890</v>
      </c>
    </row>
    <row r="236" spans="7:7">
      <c r="G236" s="126">
        <f t="shared" si="3"/>
        <v>41891</v>
      </c>
    </row>
    <row r="237" spans="7:7">
      <c r="G237" s="126">
        <f t="shared" si="3"/>
        <v>41892</v>
      </c>
    </row>
    <row r="238" spans="7:7">
      <c r="G238" s="126">
        <f t="shared" si="3"/>
        <v>41893</v>
      </c>
    </row>
    <row r="239" spans="7:7">
      <c r="G239" s="126">
        <f t="shared" si="3"/>
        <v>41894</v>
      </c>
    </row>
    <row r="240" spans="7:7">
      <c r="G240" s="126">
        <f t="shared" si="3"/>
        <v>41895</v>
      </c>
    </row>
    <row r="241" spans="7:7">
      <c r="G241" s="126">
        <f t="shared" si="3"/>
        <v>41896</v>
      </c>
    </row>
    <row r="242" spans="7:7">
      <c r="G242" s="126">
        <f t="shared" si="3"/>
        <v>41897</v>
      </c>
    </row>
    <row r="243" spans="7:7">
      <c r="G243" s="126">
        <f t="shared" si="3"/>
        <v>41898</v>
      </c>
    </row>
    <row r="244" spans="7:7">
      <c r="G244" s="126">
        <f t="shared" si="3"/>
        <v>41899</v>
      </c>
    </row>
    <row r="245" spans="7:7">
      <c r="G245" s="126">
        <f t="shared" si="3"/>
        <v>41900</v>
      </c>
    </row>
    <row r="246" spans="7:7">
      <c r="G246" s="126">
        <f t="shared" si="3"/>
        <v>41901</v>
      </c>
    </row>
    <row r="247" spans="7:7">
      <c r="G247" s="126">
        <f t="shared" si="3"/>
        <v>41902</v>
      </c>
    </row>
    <row r="248" spans="7:7">
      <c r="G248" s="126">
        <f t="shared" si="3"/>
        <v>41903</v>
      </c>
    </row>
    <row r="249" spans="7:7">
      <c r="G249" s="126">
        <f t="shared" si="3"/>
        <v>41904</v>
      </c>
    </row>
    <row r="250" spans="7:7">
      <c r="G250" s="126">
        <f t="shared" si="3"/>
        <v>41905</v>
      </c>
    </row>
    <row r="251" spans="7:7">
      <c r="G251" s="126">
        <f t="shared" si="3"/>
        <v>41906</v>
      </c>
    </row>
    <row r="252" spans="7:7">
      <c r="G252" s="126">
        <f t="shared" si="3"/>
        <v>41907</v>
      </c>
    </row>
    <row r="253" spans="7:7">
      <c r="G253" s="126">
        <f t="shared" si="3"/>
        <v>41908</v>
      </c>
    </row>
    <row r="254" spans="7:7">
      <c r="G254" s="126">
        <f t="shared" si="3"/>
        <v>41909</v>
      </c>
    </row>
    <row r="255" spans="7:7">
      <c r="G255" s="126">
        <f t="shared" si="3"/>
        <v>41910</v>
      </c>
    </row>
    <row r="256" spans="7:7">
      <c r="G256" s="126">
        <f t="shared" si="3"/>
        <v>41911</v>
      </c>
    </row>
    <row r="257" spans="7:7">
      <c r="G257" s="126">
        <f t="shared" si="3"/>
        <v>41912</v>
      </c>
    </row>
    <row r="258" spans="7:7">
      <c r="G258" s="126">
        <f t="shared" si="3"/>
        <v>41913</v>
      </c>
    </row>
    <row r="259" spans="7:7">
      <c r="G259" s="126">
        <f t="shared" si="3"/>
        <v>41914</v>
      </c>
    </row>
    <row r="260" spans="7:7">
      <c r="G260" s="126">
        <f t="shared" si="3"/>
        <v>41915</v>
      </c>
    </row>
    <row r="261" spans="7:7">
      <c r="G261" s="126">
        <f t="shared" si="3"/>
        <v>41916</v>
      </c>
    </row>
    <row r="262" spans="7:7">
      <c r="G262" s="126">
        <f t="shared" si="3"/>
        <v>41917</v>
      </c>
    </row>
    <row r="263" spans="7:7">
      <c r="G263" s="126">
        <f t="shared" ref="G263:G326" si="4">G262+1</f>
        <v>41918</v>
      </c>
    </row>
    <row r="264" spans="7:7">
      <c r="G264" s="126">
        <f t="shared" si="4"/>
        <v>41919</v>
      </c>
    </row>
    <row r="265" spans="7:7">
      <c r="G265" s="126">
        <f t="shared" si="4"/>
        <v>41920</v>
      </c>
    </row>
    <row r="266" spans="7:7">
      <c r="G266" s="126">
        <f t="shared" si="4"/>
        <v>41921</v>
      </c>
    </row>
    <row r="267" spans="7:7">
      <c r="G267" s="126">
        <f t="shared" si="4"/>
        <v>41922</v>
      </c>
    </row>
    <row r="268" spans="7:7">
      <c r="G268" s="126">
        <f t="shared" si="4"/>
        <v>41923</v>
      </c>
    </row>
    <row r="269" spans="7:7">
      <c r="G269" s="126">
        <f t="shared" si="4"/>
        <v>41924</v>
      </c>
    </row>
    <row r="270" spans="7:7">
      <c r="G270" s="126">
        <f t="shared" si="4"/>
        <v>41925</v>
      </c>
    </row>
    <row r="271" spans="7:7">
      <c r="G271" s="126">
        <f t="shared" si="4"/>
        <v>41926</v>
      </c>
    </row>
    <row r="272" spans="7:7">
      <c r="G272" s="126">
        <f t="shared" si="4"/>
        <v>41927</v>
      </c>
    </row>
    <row r="273" spans="7:7">
      <c r="G273" s="126">
        <f t="shared" si="4"/>
        <v>41928</v>
      </c>
    </row>
    <row r="274" spans="7:7">
      <c r="G274" s="126">
        <f t="shared" si="4"/>
        <v>41929</v>
      </c>
    </row>
    <row r="275" spans="7:7">
      <c r="G275" s="126">
        <f t="shared" si="4"/>
        <v>41930</v>
      </c>
    </row>
    <row r="276" spans="7:7">
      <c r="G276" s="126">
        <f t="shared" si="4"/>
        <v>41931</v>
      </c>
    </row>
    <row r="277" spans="7:7">
      <c r="G277" s="126">
        <f t="shared" si="4"/>
        <v>41932</v>
      </c>
    </row>
    <row r="278" spans="7:7">
      <c r="G278" s="126">
        <f t="shared" si="4"/>
        <v>41933</v>
      </c>
    </row>
    <row r="279" spans="7:7">
      <c r="G279" s="126">
        <f t="shared" si="4"/>
        <v>41934</v>
      </c>
    </row>
    <row r="280" spans="7:7">
      <c r="G280" s="126">
        <f t="shared" si="4"/>
        <v>41935</v>
      </c>
    </row>
    <row r="281" spans="7:7">
      <c r="G281" s="126">
        <f t="shared" si="4"/>
        <v>41936</v>
      </c>
    </row>
    <row r="282" spans="7:7">
      <c r="G282" s="126">
        <f t="shared" si="4"/>
        <v>41937</v>
      </c>
    </row>
    <row r="283" spans="7:7">
      <c r="G283" s="126">
        <f t="shared" si="4"/>
        <v>41938</v>
      </c>
    </row>
    <row r="284" spans="7:7">
      <c r="G284" s="126">
        <f t="shared" si="4"/>
        <v>41939</v>
      </c>
    </row>
    <row r="285" spans="7:7">
      <c r="G285" s="126">
        <f t="shared" si="4"/>
        <v>41940</v>
      </c>
    </row>
    <row r="286" spans="7:7">
      <c r="G286" s="126">
        <f t="shared" si="4"/>
        <v>41941</v>
      </c>
    </row>
    <row r="287" spans="7:7">
      <c r="G287" s="126">
        <f t="shared" si="4"/>
        <v>41942</v>
      </c>
    </row>
    <row r="288" spans="7:7">
      <c r="G288" s="126">
        <f t="shared" si="4"/>
        <v>41943</v>
      </c>
    </row>
    <row r="289" spans="7:7">
      <c r="G289" s="126">
        <f t="shared" si="4"/>
        <v>41944</v>
      </c>
    </row>
    <row r="290" spans="7:7">
      <c r="G290" s="126">
        <f t="shared" si="4"/>
        <v>41945</v>
      </c>
    </row>
    <row r="291" spans="7:7">
      <c r="G291" s="126">
        <f t="shared" si="4"/>
        <v>41946</v>
      </c>
    </row>
    <row r="292" spans="7:7">
      <c r="G292" s="126">
        <f t="shared" si="4"/>
        <v>41947</v>
      </c>
    </row>
    <row r="293" spans="7:7">
      <c r="G293" s="126">
        <f t="shared" si="4"/>
        <v>41948</v>
      </c>
    </row>
    <row r="294" spans="7:7">
      <c r="G294" s="126">
        <f t="shared" si="4"/>
        <v>41949</v>
      </c>
    </row>
    <row r="295" spans="7:7">
      <c r="G295" s="126">
        <f t="shared" si="4"/>
        <v>41950</v>
      </c>
    </row>
    <row r="296" spans="7:7">
      <c r="G296" s="126">
        <f t="shared" si="4"/>
        <v>41951</v>
      </c>
    </row>
    <row r="297" spans="7:7">
      <c r="G297" s="126">
        <f t="shared" si="4"/>
        <v>41952</v>
      </c>
    </row>
    <row r="298" spans="7:7">
      <c r="G298" s="126">
        <f t="shared" si="4"/>
        <v>41953</v>
      </c>
    </row>
    <row r="299" spans="7:7">
      <c r="G299" s="126">
        <f t="shared" si="4"/>
        <v>41954</v>
      </c>
    </row>
    <row r="300" spans="7:7">
      <c r="G300" s="126">
        <f t="shared" si="4"/>
        <v>41955</v>
      </c>
    </row>
    <row r="301" spans="7:7">
      <c r="G301" s="126">
        <f t="shared" si="4"/>
        <v>41956</v>
      </c>
    </row>
    <row r="302" spans="7:7">
      <c r="G302" s="126">
        <f t="shared" si="4"/>
        <v>41957</v>
      </c>
    </row>
    <row r="303" spans="7:7">
      <c r="G303" s="126">
        <f t="shared" si="4"/>
        <v>41958</v>
      </c>
    </row>
    <row r="304" spans="7:7">
      <c r="G304" s="126">
        <f t="shared" si="4"/>
        <v>41959</v>
      </c>
    </row>
    <row r="305" spans="7:7">
      <c r="G305" s="126">
        <f t="shared" si="4"/>
        <v>41960</v>
      </c>
    </row>
    <row r="306" spans="7:7">
      <c r="G306" s="126">
        <f t="shared" si="4"/>
        <v>41961</v>
      </c>
    </row>
    <row r="307" spans="7:7">
      <c r="G307" s="126">
        <f t="shared" si="4"/>
        <v>41962</v>
      </c>
    </row>
    <row r="308" spans="7:7">
      <c r="G308" s="126">
        <f t="shared" si="4"/>
        <v>41963</v>
      </c>
    </row>
    <row r="309" spans="7:7">
      <c r="G309" s="126">
        <f t="shared" si="4"/>
        <v>41964</v>
      </c>
    </row>
    <row r="310" spans="7:7">
      <c r="G310" s="126">
        <f t="shared" si="4"/>
        <v>41965</v>
      </c>
    </row>
    <row r="311" spans="7:7">
      <c r="G311" s="126">
        <f t="shared" si="4"/>
        <v>41966</v>
      </c>
    </row>
    <row r="312" spans="7:7">
      <c r="G312" s="126">
        <f t="shared" si="4"/>
        <v>41967</v>
      </c>
    </row>
    <row r="313" spans="7:7">
      <c r="G313" s="126">
        <f t="shared" si="4"/>
        <v>41968</v>
      </c>
    </row>
    <row r="314" spans="7:7">
      <c r="G314" s="126">
        <f t="shared" si="4"/>
        <v>41969</v>
      </c>
    </row>
    <row r="315" spans="7:7">
      <c r="G315" s="126">
        <f t="shared" si="4"/>
        <v>41970</v>
      </c>
    </row>
    <row r="316" spans="7:7">
      <c r="G316" s="126">
        <f t="shared" si="4"/>
        <v>41971</v>
      </c>
    </row>
    <row r="317" spans="7:7">
      <c r="G317" s="126">
        <f t="shared" si="4"/>
        <v>41972</v>
      </c>
    </row>
    <row r="318" spans="7:7">
      <c r="G318" s="126">
        <f t="shared" si="4"/>
        <v>41973</v>
      </c>
    </row>
    <row r="319" spans="7:7">
      <c r="G319" s="126">
        <f t="shared" si="4"/>
        <v>41974</v>
      </c>
    </row>
    <row r="320" spans="7:7">
      <c r="G320" s="126">
        <f t="shared" si="4"/>
        <v>41975</v>
      </c>
    </row>
    <row r="321" spans="7:7">
      <c r="G321" s="126">
        <f t="shared" si="4"/>
        <v>41976</v>
      </c>
    </row>
    <row r="322" spans="7:7">
      <c r="G322" s="126">
        <f t="shared" si="4"/>
        <v>41977</v>
      </c>
    </row>
    <row r="323" spans="7:7">
      <c r="G323" s="126">
        <f t="shared" si="4"/>
        <v>41978</v>
      </c>
    </row>
    <row r="324" spans="7:7">
      <c r="G324" s="126">
        <f t="shared" si="4"/>
        <v>41979</v>
      </c>
    </row>
    <row r="325" spans="7:7">
      <c r="G325" s="126">
        <f t="shared" si="4"/>
        <v>41980</v>
      </c>
    </row>
    <row r="326" spans="7:7">
      <c r="G326" s="126">
        <f t="shared" si="4"/>
        <v>41981</v>
      </c>
    </row>
    <row r="327" spans="7:7">
      <c r="G327" s="126">
        <f t="shared" ref="G327:G388" si="5">G326+1</f>
        <v>41982</v>
      </c>
    </row>
    <row r="328" spans="7:7">
      <c r="G328" s="126">
        <f t="shared" si="5"/>
        <v>41983</v>
      </c>
    </row>
    <row r="329" spans="7:7">
      <c r="G329" s="126">
        <f t="shared" si="5"/>
        <v>41984</v>
      </c>
    </row>
    <row r="330" spans="7:7">
      <c r="G330" s="126">
        <f t="shared" si="5"/>
        <v>41985</v>
      </c>
    </row>
    <row r="331" spans="7:7">
      <c r="G331" s="126">
        <f t="shared" si="5"/>
        <v>41986</v>
      </c>
    </row>
    <row r="332" spans="7:7">
      <c r="G332" s="126">
        <f t="shared" si="5"/>
        <v>41987</v>
      </c>
    </row>
    <row r="333" spans="7:7">
      <c r="G333" s="126">
        <f t="shared" si="5"/>
        <v>41988</v>
      </c>
    </row>
    <row r="334" spans="7:7">
      <c r="G334" s="126">
        <f t="shared" si="5"/>
        <v>41989</v>
      </c>
    </row>
    <row r="335" spans="7:7">
      <c r="G335" s="126">
        <f t="shared" si="5"/>
        <v>41990</v>
      </c>
    </row>
    <row r="336" spans="7:7">
      <c r="G336" s="126">
        <f t="shared" si="5"/>
        <v>41991</v>
      </c>
    </row>
    <row r="337" spans="7:7">
      <c r="G337" s="126">
        <f t="shared" si="5"/>
        <v>41992</v>
      </c>
    </row>
    <row r="338" spans="7:7">
      <c r="G338" s="126">
        <f t="shared" si="5"/>
        <v>41993</v>
      </c>
    </row>
    <row r="339" spans="7:7">
      <c r="G339" s="126">
        <f t="shared" si="5"/>
        <v>41994</v>
      </c>
    </row>
    <row r="340" spans="7:7">
      <c r="G340" s="126">
        <f t="shared" si="5"/>
        <v>41995</v>
      </c>
    </row>
    <row r="341" spans="7:7">
      <c r="G341" s="126">
        <f t="shared" si="5"/>
        <v>41996</v>
      </c>
    </row>
    <row r="342" spans="7:7">
      <c r="G342" s="126">
        <f t="shared" si="5"/>
        <v>41997</v>
      </c>
    </row>
    <row r="343" spans="7:7">
      <c r="G343" s="126">
        <f t="shared" si="5"/>
        <v>41998</v>
      </c>
    </row>
    <row r="344" spans="7:7">
      <c r="G344" s="126">
        <f t="shared" si="5"/>
        <v>41999</v>
      </c>
    </row>
    <row r="345" spans="7:7">
      <c r="G345" s="126">
        <f t="shared" si="5"/>
        <v>42000</v>
      </c>
    </row>
    <row r="346" spans="7:7">
      <c r="G346" s="126">
        <f t="shared" si="5"/>
        <v>42001</v>
      </c>
    </row>
    <row r="347" spans="7:7">
      <c r="G347" s="126">
        <f t="shared" si="5"/>
        <v>42002</v>
      </c>
    </row>
    <row r="348" spans="7:7">
      <c r="G348" s="126">
        <f t="shared" si="5"/>
        <v>42003</v>
      </c>
    </row>
    <row r="349" spans="7:7">
      <c r="G349" s="126">
        <f t="shared" si="5"/>
        <v>42004</v>
      </c>
    </row>
    <row r="350" spans="7:7">
      <c r="G350" s="126">
        <f t="shared" si="5"/>
        <v>42005</v>
      </c>
    </row>
    <row r="351" spans="7:7">
      <c r="G351" s="126">
        <f t="shared" si="5"/>
        <v>42006</v>
      </c>
    </row>
    <row r="352" spans="7:7">
      <c r="G352" s="126">
        <f t="shared" si="5"/>
        <v>42007</v>
      </c>
    </row>
    <row r="353" spans="7:7">
      <c r="G353" s="126">
        <f t="shared" si="5"/>
        <v>42008</v>
      </c>
    </row>
    <row r="354" spans="7:7">
      <c r="G354" s="126">
        <f t="shared" si="5"/>
        <v>42009</v>
      </c>
    </row>
    <row r="355" spans="7:7">
      <c r="G355" s="126">
        <f t="shared" si="5"/>
        <v>42010</v>
      </c>
    </row>
    <row r="356" spans="7:7">
      <c r="G356" s="126">
        <f t="shared" si="5"/>
        <v>42011</v>
      </c>
    </row>
    <row r="357" spans="7:7">
      <c r="G357" s="126">
        <f t="shared" si="5"/>
        <v>42012</v>
      </c>
    </row>
    <row r="358" spans="7:7">
      <c r="G358" s="126">
        <f t="shared" si="5"/>
        <v>42013</v>
      </c>
    </row>
    <row r="359" spans="7:7">
      <c r="G359" s="126">
        <f t="shared" si="5"/>
        <v>42014</v>
      </c>
    </row>
    <row r="360" spans="7:7">
      <c r="G360" s="126">
        <f t="shared" si="5"/>
        <v>42015</v>
      </c>
    </row>
    <row r="361" spans="7:7">
      <c r="G361" s="126">
        <f t="shared" si="5"/>
        <v>42016</v>
      </c>
    </row>
    <row r="362" spans="7:7">
      <c r="G362" s="126">
        <f t="shared" si="5"/>
        <v>42017</v>
      </c>
    </row>
    <row r="363" spans="7:7">
      <c r="G363" s="126">
        <f t="shared" si="5"/>
        <v>42018</v>
      </c>
    </row>
    <row r="364" spans="7:7">
      <c r="G364" s="126">
        <f t="shared" si="5"/>
        <v>42019</v>
      </c>
    </row>
    <row r="365" spans="7:7">
      <c r="G365" s="126">
        <f t="shared" si="5"/>
        <v>42020</v>
      </c>
    </row>
    <row r="366" spans="7:7">
      <c r="G366" s="126">
        <f t="shared" si="5"/>
        <v>42021</v>
      </c>
    </row>
    <row r="367" spans="7:7">
      <c r="G367" s="126">
        <f t="shared" si="5"/>
        <v>42022</v>
      </c>
    </row>
    <row r="368" spans="7:7">
      <c r="G368" s="126">
        <f t="shared" si="5"/>
        <v>42023</v>
      </c>
    </row>
    <row r="369" spans="7:7">
      <c r="G369" s="126">
        <f t="shared" si="5"/>
        <v>42024</v>
      </c>
    </row>
    <row r="370" spans="7:7">
      <c r="G370" s="126">
        <f t="shared" si="5"/>
        <v>42025</v>
      </c>
    </row>
    <row r="371" spans="7:7">
      <c r="G371" s="126">
        <f t="shared" si="5"/>
        <v>42026</v>
      </c>
    </row>
    <row r="372" spans="7:7">
      <c r="G372" s="126">
        <f t="shared" si="5"/>
        <v>42027</v>
      </c>
    </row>
    <row r="373" spans="7:7">
      <c r="G373" s="126">
        <f t="shared" si="5"/>
        <v>42028</v>
      </c>
    </row>
    <row r="374" spans="7:7">
      <c r="G374" s="126">
        <f t="shared" si="5"/>
        <v>42029</v>
      </c>
    </row>
    <row r="375" spans="7:7">
      <c r="G375" s="126">
        <f t="shared" si="5"/>
        <v>42030</v>
      </c>
    </row>
    <row r="376" spans="7:7">
      <c r="G376" s="126">
        <f t="shared" si="5"/>
        <v>42031</v>
      </c>
    </row>
    <row r="377" spans="7:7">
      <c r="G377" s="126">
        <f t="shared" si="5"/>
        <v>42032</v>
      </c>
    </row>
    <row r="378" spans="7:7">
      <c r="G378" s="126">
        <f t="shared" si="5"/>
        <v>42033</v>
      </c>
    </row>
    <row r="379" spans="7:7">
      <c r="G379" s="126">
        <f t="shared" si="5"/>
        <v>42034</v>
      </c>
    </row>
    <row r="380" spans="7:7">
      <c r="G380" s="126">
        <f t="shared" si="5"/>
        <v>42035</v>
      </c>
    </row>
    <row r="381" spans="7:7">
      <c r="G381" s="126">
        <f t="shared" si="5"/>
        <v>42036</v>
      </c>
    </row>
    <row r="382" spans="7:7">
      <c r="G382" s="126">
        <f t="shared" si="5"/>
        <v>42037</v>
      </c>
    </row>
    <row r="383" spans="7:7">
      <c r="G383" s="126">
        <f t="shared" si="5"/>
        <v>42038</v>
      </c>
    </row>
    <row r="384" spans="7:7">
      <c r="G384" s="126">
        <f t="shared" si="5"/>
        <v>42039</v>
      </c>
    </row>
    <row r="385" spans="7:7">
      <c r="G385" s="126">
        <f t="shared" si="5"/>
        <v>42040</v>
      </c>
    </row>
    <row r="386" spans="7:7">
      <c r="G386" s="126">
        <f t="shared" si="5"/>
        <v>42041</v>
      </c>
    </row>
    <row r="387" spans="7:7">
      <c r="G387" s="126">
        <f t="shared" si="5"/>
        <v>42042</v>
      </c>
    </row>
    <row r="388" spans="7:7">
      <c r="G388" s="126">
        <f t="shared" si="5"/>
        <v>42043</v>
      </c>
    </row>
  </sheetData>
  <phoneticPr fontId="40" type="noConversion"/>
  <pageMargins left="0.7" right="0.7" top="0.75" bottom="0.75" header="0.3" footer="0.3"/>
  <pageSetup orientation="portrait" horizontalDpi="4294967294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B942-0974-EA40-B02C-6AD1D3A8EB85}">
  <sheetPr codeName="Sheet28"/>
  <dimension ref="A1:B11"/>
  <sheetViews>
    <sheetView workbookViewId="0">
      <selection activeCell="E18" sqref="E18"/>
    </sheetView>
  </sheetViews>
  <sheetFormatPr defaultColWidth="10.90625" defaultRowHeight="14.5"/>
  <sheetData>
    <row r="1" spans="1:2">
      <c r="A1" s="95" t="s">
        <v>692</v>
      </c>
      <c r="B1" s="95" t="s">
        <v>815</v>
      </c>
    </row>
    <row r="2" spans="1:2">
      <c r="A2" s="96" t="s">
        <v>723</v>
      </c>
      <c r="B2" s="96">
        <v>2.633687E-3</v>
      </c>
    </row>
    <row r="3" spans="1:2">
      <c r="A3" s="96" t="s">
        <v>804</v>
      </c>
      <c r="B3" s="96">
        <v>1.258847E-3</v>
      </c>
    </row>
    <row r="4" spans="1:2">
      <c r="A4" s="96" t="s">
        <v>805</v>
      </c>
      <c r="B4" s="96">
        <v>-2.394948E-3</v>
      </c>
    </row>
    <row r="5" spans="1:2">
      <c r="A5" s="96" t="s">
        <v>806</v>
      </c>
      <c r="B5" s="96">
        <v>1.5680690000000001E-3</v>
      </c>
    </row>
    <row r="6" spans="1:2">
      <c r="A6" s="96" t="s">
        <v>721</v>
      </c>
      <c r="B6" s="97">
        <v>4.6856999999999999E-6</v>
      </c>
    </row>
    <row r="7" spans="1:2">
      <c r="A7" s="96" t="s">
        <v>722</v>
      </c>
      <c r="B7" s="96">
        <v>-3.5981700000000001E-4</v>
      </c>
    </row>
    <row r="8" spans="1:2">
      <c r="A8" s="96" t="s">
        <v>708</v>
      </c>
      <c r="B8" s="96">
        <v>-3.7147599999999998E-4</v>
      </c>
    </row>
    <row r="9" spans="1:2">
      <c r="A9" s="96" t="s">
        <v>709</v>
      </c>
      <c r="B9" s="96">
        <v>-5.0208299999999996E-4</v>
      </c>
    </row>
    <row r="10" spans="1:2">
      <c r="A10" s="96" t="s">
        <v>710</v>
      </c>
      <c r="B10" s="96">
        <v>-4.8391900000000003E-4</v>
      </c>
    </row>
    <row r="11" spans="1:2">
      <c r="A11" s="96" t="s">
        <v>720</v>
      </c>
      <c r="B11" s="96">
        <v>-9.8187899999999995E-4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61"/>
  <sheetViews>
    <sheetView topLeftCell="A2" workbookViewId="0">
      <selection activeCell="E18" sqref="E18"/>
    </sheetView>
  </sheetViews>
  <sheetFormatPr defaultColWidth="8.81640625" defaultRowHeight="14.5"/>
  <cols>
    <col min="1" max="1" width="11.36328125" style="36" customWidth="1"/>
    <col min="2" max="2" width="25.6328125" style="36" customWidth="1"/>
    <col min="3" max="3" width="22.453125" style="36" customWidth="1"/>
    <col min="4" max="16384" width="8.81640625" style="36"/>
  </cols>
  <sheetData>
    <row r="1" spans="1:3">
      <c r="A1" s="91" t="s">
        <v>798</v>
      </c>
      <c r="B1" s="91" t="s">
        <v>816</v>
      </c>
      <c r="C1" s="16" t="s">
        <v>817</v>
      </c>
    </row>
    <row r="2" spans="1:3">
      <c r="A2" s="36" t="s">
        <v>700</v>
      </c>
      <c r="B2" s="36">
        <v>7.0903548750095901E-3</v>
      </c>
      <c r="C2" s="36">
        <v>-4.396733603319861</v>
      </c>
    </row>
    <row r="3" spans="1:3">
      <c r="A3" s="36" t="s">
        <v>701</v>
      </c>
      <c r="B3" s="36">
        <v>0.10249074119334793</v>
      </c>
      <c r="C3" s="36">
        <v>-4.682385199307519</v>
      </c>
    </row>
    <row r="4" spans="1:3">
      <c r="A4" s="36" t="s">
        <v>702</v>
      </c>
      <c r="B4" s="36">
        <v>4.4347310896504531E-2</v>
      </c>
      <c r="C4" s="36">
        <v>-4.5504032781199442</v>
      </c>
    </row>
    <row r="5" spans="1:3">
      <c r="A5" s="36" t="s">
        <v>724</v>
      </c>
      <c r="B5" s="36">
        <v>6.632718018739045E-2</v>
      </c>
      <c r="C5" s="36">
        <v>-4.5087768849274372</v>
      </c>
    </row>
    <row r="6" spans="1:3">
      <c r="A6" s="36" t="s">
        <v>725</v>
      </c>
      <c r="B6" s="36">
        <v>9.6655630254988661E-2</v>
      </c>
      <c r="C6" s="36">
        <v>-4.4574025253859446</v>
      </c>
    </row>
    <row r="7" spans="1:3">
      <c r="A7" s="36" t="s">
        <v>726</v>
      </c>
      <c r="B7" s="36">
        <v>5.8984874681379224E-2</v>
      </c>
      <c r="C7" s="36">
        <v>-4.3620527417507349</v>
      </c>
    </row>
    <row r="8" spans="1:3">
      <c r="A8" s="36" t="s">
        <v>727</v>
      </c>
      <c r="B8" s="36">
        <v>8.3787371584153031E-2</v>
      </c>
      <c r="C8" s="36">
        <v>-4.2675767240008442</v>
      </c>
    </row>
    <row r="9" spans="1:3">
      <c r="A9" s="36" t="s">
        <v>728</v>
      </c>
      <c r="B9" s="36">
        <v>0.17782729109276449</v>
      </c>
      <c r="C9" s="36">
        <v>-4.2015496676394175</v>
      </c>
    </row>
    <row r="10" spans="1:3">
      <c r="A10" s="36" t="s">
        <v>703</v>
      </c>
      <c r="B10" s="36">
        <v>3.6995297769325239E-2</v>
      </c>
      <c r="C10" s="36">
        <v>-4.2207173023681941</v>
      </c>
    </row>
    <row r="11" spans="1:3">
      <c r="A11" s="36" t="s">
        <v>704</v>
      </c>
      <c r="B11" s="36">
        <v>4.8146805938410572E-2</v>
      </c>
      <c r="C11" s="36">
        <v>-4.0618675226034142</v>
      </c>
    </row>
    <row r="12" spans="1:3">
      <c r="A12" s="36" t="s">
        <v>729</v>
      </c>
      <c r="B12" s="36">
        <v>6.0007875215822223E-2</v>
      </c>
      <c r="C12" s="36">
        <v>-3.8107577746285948</v>
      </c>
    </row>
    <row r="13" spans="1:3">
      <c r="A13" s="36" t="s">
        <v>705</v>
      </c>
      <c r="B13" s="36">
        <v>8.6869720877536499E-2</v>
      </c>
      <c r="C13" s="36">
        <v>-3.4714510976650841</v>
      </c>
    </row>
    <row r="14" spans="1:3">
      <c r="A14" s="36" t="s">
        <v>706</v>
      </c>
      <c r="B14" s="36">
        <v>0.10187500992242442</v>
      </c>
      <c r="C14" s="36">
        <v>-3.312238701602471</v>
      </c>
    </row>
    <row r="15" spans="1:3">
      <c r="A15" s="36" t="s">
        <v>707</v>
      </c>
      <c r="B15" s="36">
        <v>0.11540940235468368</v>
      </c>
      <c r="C15" s="36">
        <v>-3.2700286815669575</v>
      </c>
    </row>
    <row r="16" spans="1:3">
      <c r="A16" s="36" t="s">
        <v>730</v>
      </c>
      <c r="B16" s="36">
        <v>2.5855950053404356E-2</v>
      </c>
      <c r="C16" s="36">
        <v>-5.7426371882925586</v>
      </c>
    </row>
    <row r="17" spans="1:3">
      <c r="A17" s="36" t="s">
        <v>717</v>
      </c>
      <c r="B17" s="36">
        <v>3.3640862436816674E-2</v>
      </c>
      <c r="C17" s="36">
        <v>-7.0910969740488978</v>
      </c>
    </row>
    <row r="18" spans="1:3">
      <c r="A18" s="36" t="s">
        <v>718</v>
      </c>
      <c r="B18" s="36">
        <v>2.5481094102541187E-2</v>
      </c>
      <c r="C18" s="36">
        <v>-6.7998522570418771</v>
      </c>
    </row>
    <row r="19" spans="1:3">
      <c r="A19" s="36" t="s">
        <v>731</v>
      </c>
      <c r="B19" s="36">
        <v>2.0837126481779888E-2</v>
      </c>
      <c r="C19" s="36">
        <v>-6.4738876205593519</v>
      </c>
    </row>
    <row r="20" spans="1:3">
      <c r="A20" s="36" t="s">
        <v>732</v>
      </c>
      <c r="B20" s="36">
        <v>2.7266299058414416E-2</v>
      </c>
      <c r="C20" s="36">
        <v>-6.1892379105031141</v>
      </c>
    </row>
    <row r="21" spans="1:3">
      <c r="A21" s="36" t="s">
        <v>733</v>
      </c>
      <c r="B21" s="36">
        <v>1.6189076475897894E-2</v>
      </c>
      <c r="C21" s="36">
        <v>-5.7534124340856572</v>
      </c>
    </row>
    <row r="22" spans="1:3">
      <c r="A22" s="36" t="s">
        <v>734</v>
      </c>
      <c r="B22" s="36">
        <v>1.7385521115771123E-2</v>
      </c>
      <c r="C22" s="36">
        <v>-5.4518113763074618</v>
      </c>
    </row>
    <row r="23" spans="1:3">
      <c r="A23" s="36" t="s">
        <v>735</v>
      </c>
      <c r="B23" s="36">
        <v>1.0335416674335053E-2</v>
      </c>
      <c r="C23" s="36">
        <v>-5.2467195824050146</v>
      </c>
    </row>
    <row r="24" spans="1:3">
      <c r="A24" s="36" t="s">
        <v>719</v>
      </c>
      <c r="B24" s="36">
        <v>0.10393328082278819</v>
      </c>
      <c r="C24" s="36">
        <v>-5.2468373787416738</v>
      </c>
    </row>
    <row r="25" spans="1:3">
      <c r="A25" s="36" t="s">
        <v>736</v>
      </c>
      <c r="B25" s="36">
        <v>6.8135361574191436E-2</v>
      </c>
      <c r="C25" s="36">
        <v>-4.9587329460379186</v>
      </c>
    </row>
    <row r="26" spans="1:3">
      <c r="A26" s="36" t="s">
        <v>737</v>
      </c>
      <c r="B26" s="36">
        <v>6.7797700376821882E-2</v>
      </c>
      <c r="C26" s="36">
        <v>-4.4481580923380548</v>
      </c>
    </row>
    <row r="27" spans="1:3">
      <c r="A27" s="36" t="s">
        <v>738</v>
      </c>
      <c r="B27" s="36">
        <v>6.9602592858785936E-2</v>
      </c>
      <c r="C27" s="36">
        <v>-3.8804440314499224</v>
      </c>
    </row>
    <row r="28" spans="1:3">
      <c r="A28" s="36" t="s">
        <v>739</v>
      </c>
      <c r="B28" s="36">
        <v>5.6311376738675971E-2</v>
      </c>
      <c r="C28" s="36">
        <v>-3.6779368475806753</v>
      </c>
    </row>
    <row r="29" spans="1:3">
      <c r="A29" s="36" t="s">
        <v>740</v>
      </c>
      <c r="B29" s="36">
        <v>6.7503848640189448E-2</v>
      </c>
      <c r="C29" s="36">
        <v>-3.6181381192518618</v>
      </c>
    </row>
    <row r="30" spans="1:3">
      <c r="A30" s="36" t="s">
        <v>708</v>
      </c>
      <c r="B30" s="36">
        <v>3.2103845439290034E-2</v>
      </c>
      <c r="C30" s="36">
        <v>-2.4135660496025089E-2</v>
      </c>
    </row>
    <row r="31" spans="1:3">
      <c r="A31" s="36" t="s">
        <v>709</v>
      </c>
      <c r="B31" s="36">
        <v>1.1514088544233896E-2</v>
      </c>
      <c r="C31" s="36">
        <v>0.27991096884570776</v>
      </c>
    </row>
    <row r="32" spans="1:3">
      <c r="A32" s="36" t="s">
        <v>710</v>
      </c>
      <c r="B32" s="36">
        <v>1.7828245461102735E-2</v>
      </c>
      <c r="C32" s="36">
        <v>0.46907279584938633</v>
      </c>
    </row>
    <row r="33" spans="1:3">
      <c r="A33" s="36" t="s">
        <v>720</v>
      </c>
      <c r="B33" s="36">
        <v>1.8133162982500166E-2</v>
      </c>
      <c r="C33" s="36">
        <v>-1.1480033763771917</v>
      </c>
    </row>
    <row r="34" spans="1:3">
      <c r="A34" s="36" t="s">
        <v>741</v>
      </c>
      <c r="B34" s="36">
        <v>3.2788188566174159E-2</v>
      </c>
      <c r="C34" s="36">
        <v>-5.3569494528566555</v>
      </c>
    </row>
    <row r="35" spans="1:3">
      <c r="A35" s="36" t="s">
        <v>742</v>
      </c>
      <c r="B35" s="36">
        <v>-9.9134798241438385E-4</v>
      </c>
      <c r="C35" s="36">
        <v>-8.5259210277057154</v>
      </c>
    </row>
    <row r="36" spans="1:3">
      <c r="A36" s="36" t="s">
        <v>743</v>
      </c>
      <c r="B36" s="36">
        <v>-1.324372895123418E-2</v>
      </c>
      <c r="C36" s="36">
        <v>-5.4146960114556393</v>
      </c>
    </row>
    <row r="37" spans="1:3">
      <c r="A37" s="36" t="s">
        <v>744</v>
      </c>
      <c r="B37" s="36">
        <v>-1.1639015442027929E-2</v>
      </c>
      <c r="C37" s="36">
        <v>-5.345675226524496</v>
      </c>
    </row>
    <row r="38" spans="1:3">
      <c r="A38" s="36" t="s">
        <v>745</v>
      </c>
      <c r="B38" s="36">
        <v>6.86377926381441E-3</v>
      </c>
      <c r="C38" s="36">
        <v>-5.2495194887307921</v>
      </c>
    </row>
    <row r="39" spans="1:3">
      <c r="A39" s="36" t="s">
        <v>746</v>
      </c>
      <c r="B39" s="36">
        <v>3.5295074093298618E-4</v>
      </c>
      <c r="C39" s="36">
        <v>-4.3537104378781653</v>
      </c>
    </row>
    <row r="40" spans="1:3">
      <c r="A40" s="36" t="s">
        <v>747</v>
      </c>
      <c r="B40" s="36">
        <v>-2.2516040136536055E-3</v>
      </c>
      <c r="C40" s="36">
        <v>-5.1472778797650127</v>
      </c>
    </row>
    <row r="41" spans="1:3">
      <c r="A41" s="36" t="s">
        <v>748</v>
      </c>
      <c r="B41" s="36">
        <v>-3.8386457503034551E-3</v>
      </c>
      <c r="C41" s="36">
        <v>-4.9048875498813365</v>
      </c>
    </row>
    <row r="42" spans="1:3">
      <c r="A42" s="36" t="s">
        <v>749</v>
      </c>
      <c r="B42" s="36">
        <v>1.5960311865550927E-2</v>
      </c>
      <c r="C42" s="36">
        <v>-4.6875382754520931</v>
      </c>
    </row>
    <row r="43" spans="1:3">
      <c r="A43" s="36" t="s">
        <v>750</v>
      </c>
      <c r="B43" s="36">
        <v>1.6272368203377748E-2</v>
      </c>
      <c r="C43" s="36">
        <v>-4.3848537995884085</v>
      </c>
    </row>
    <row r="44" spans="1:3">
      <c r="A44" s="36" t="s">
        <v>751</v>
      </c>
      <c r="B44" s="36">
        <v>1.6444537289439523E-2</v>
      </c>
      <c r="C44" s="36">
        <v>-3.9677565690982131</v>
      </c>
    </row>
    <row r="45" spans="1:3">
      <c r="A45" s="36" t="s">
        <v>752</v>
      </c>
      <c r="B45" s="36">
        <v>5.7854186696946551E-2</v>
      </c>
      <c r="C45" s="36">
        <v>-3.6121729294896689</v>
      </c>
    </row>
    <row r="46" spans="1:3">
      <c r="A46" s="36" t="s">
        <v>753</v>
      </c>
      <c r="B46" s="36">
        <v>8.0925265653740475E-2</v>
      </c>
      <c r="C46" s="36">
        <v>-3.4500528417836733</v>
      </c>
    </row>
    <row r="47" spans="1:3">
      <c r="A47" s="36" t="s">
        <v>754</v>
      </c>
      <c r="B47" s="36">
        <v>9.7178269889881999E-2</v>
      </c>
      <c r="C47" s="36">
        <v>-3.3874365327327163</v>
      </c>
    </row>
    <row r="48" spans="1:3">
      <c r="A48" s="36" t="s">
        <v>711</v>
      </c>
      <c r="B48" s="36">
        <v>0.10869209075535437</v>
      </c>
      <c r="C48" s="36">
        <v>-6.8555343282987202</v>
      </c>
    </row>
    <row r="49" spans="1:3">
      <c r="A49" s="36" t="s">
        <v>712</v>
      </c>
      <c r="B49" s="36">
        <v>2.8175309545660502E-2</v>
      </c>
      <c r="C49" s="36">
        <v>-6.7892193550333912</v>
      </c>
    </row>
    <row r="50" spans="1:3">
      <c r="A50" s="36" t="s">
        <v>713</v>
      </c>
      <c r="B50" s="36">
        <v>1.7790926186131106E-2</v>
      </c>
      <c r="C50" s="36">
        <v>-6.4016657011388283</v>
      </c>
    </row>
    <row r="51" spans="1:3">
      <c r="A51" s="36" t="s">
        <v>755</v>
      </c>
      <c r="B51" s="36">
        <v>9.4653102999880442E-3</v>
      </c>
      <c r="C51" s="36">
        <v>-6.113514304993183</v>
      </c>
    </row>
    <row r="52" spans="1:3">
      <c r="A52" s="36" t="s">
        <v>756</v>
      </c>
      <c r="B52" s="36">
        <v>1.5301265703522244E-2</v>
      </c>
      <c r="C52" s="36">
        <v>-6.0289745159091215</v>
      </c>
    </row>
    <row r="53" spans="1:3">
      <c r="A53" s="36" t="s">
        <v>757</v>
      </c>
      <c r="B53" s="36">
        <v>7.9292226086371785E-3</v>
      </c>
      <c r="C53" s="36">
        <v>-5.6134914830979179</v>
      </c>
    </row>
    <row r="54" spans="1:3">
      <c r="A54" s="36" t="s">
        <v>758</v>
      </c>
      <c r="B54" s="36">
        <v>4.6199683624246505E-3</v>
      </c>
      <c r="C54" s="36">
        <v>-5.2072654472237501</v>
      </c>
    </row>
    <row r="55" spans="1:3">
      <c r="A55" s="36" t="s">
        <v>759</v>
      </c>
      <c r="B55" s="36">
        <v>1.4371309885645748E-2</v>
      </c>
      <c r="C55" s="36">
        <v>-5.0673934008363863</v>
      </c>
    </row>
    <row r="56" spans="1:3">
      <c r="A56" s="36" t="s">
        <v>714</v>
      </c>
      <c r="B56" s="36">
        <v>3.3269176827585609E-2</v>
      </c>
      <c r="C56" s="36">
        <v>-5.3883830056708595</v>
      </c>
    </row>
    <row r="57" spans="1:3">
      <c r="A57" s="36" t="s">
        <v>715</v>
      </c>
      <c r="B57" s="36">
        <v>3.5327626924190066E-2</v>
      </c>
      <c r="C57" s="36">
        <v>-4.8894484725910319</v>
      </c>
    </row>
    <row r="58" spans="1:3">
      <c r="A58" s="36" t="s">
        <v>716</v>
      </c>
      <c r="B58" s="36">
        <v>4.0070244976392451E-2</v>
      </c>
      <c r="C58" s="36">
        <v>-4.1873330174511949</v>
      </c>
    </row>
    <row r="59" spans="1:3">
      <c r="A59" s="36" t="s">
        <v>760</v>
      </c>
      <c r="B59" s="36">
        <v>5.448704472913872E-2</v>
      </c>
      <c r="C59" s="36">
        <v>-3.5644016149591446</v>
      </c>
    </row>
    <row r="60" spans="1:3">
      <c r="A60" s="36" t="s">
        <v>761</v>
      </c>
      <c r="B60" s="36">
        <v>6.8101646470857757E-2</v>
      </c>
      <c r="C60" s="36">
        <v>-3.3665162667524409</v>
      </c>
    </row>
    <row r="61" spans="1:3">
      <c r="A61" s="36" t="s">
        <v>762</v>
      </c>
      <c r="B61" s="36">
        <v>8.6353784310594095E-2</v>
      </c>
      <c r="C61" s="36">
        <v>-3.2867354825240818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57"/>
  <sheetViews>
    <sheetView workbookViewId="0">
      <selection activeCell="E18" sqref="E18"/>
    </sheetView>
  </sheetViews>
  <sheetFormatPr defaultColWidth="8.81640625" defaultRowHeight="14.5"/>
  <cols>
    <col min="1" max="1" width="10.81640625" bestFit="1" customWidth="1"/>
    <col min="2" max="2" width="20.453125" bestFit="1" customWidth="1"/>
    <col min="3" max="3" width="19.453125" bestFit="1" customWidth="1"/>
  </cols>
  <sheetData>
    <row r="1" spans="1:3">
      <c r="A1" s="93" t="s">
        <v>798</v>
      </c>
      <c r="B1" s="93" t="s">
        <v>816</v>
      </c>
      <c r="C1" s="94" t="s">
        <v>817</v>
      </c>
    </row>
    <row r="2" spans="1:3">
      <c r="A2" s="36" t="s">
        <v>700</v>
      </c>
      <c r="B2" s="36">
        <v>-2.0102678442495137E-3</v>
      </c>
      <c r="C2" s="36">
        <v>-7.7238892517031126E-3</v>
      </c>
    </row>
    <row r="3" spans="1:3">
      <c r="A3" s="36" t="s">
        <v>701</v>
      </c>
      <c r="B3" s="36">
        <v>8.5947502417980104E-2</v>
      </c>
      <c r="C3" s="36">
        <v>9.3236762100947484E-3</v>
      </c>
    </row>
    <row r="4" spans="1:3">
      <c r="A4" s="36" t="s">
        <v>702</v>
      </c>
      <c r="B4" s="36">
        <v>4.2031447337240735E-2</v>
      </c>
      <c r="C4" s="36">
        <v>1.0579111733044124E-2</v>
      </c>
    </row>
    <row r="5" spans="1:3">
      <c r="A5" s="36" t="s">
        <v>724</v>
      </c>
      <c r="B5" s="36">
        <v>6.3162649962028916E-2</v>
      </c>
      <c r="C5" s="36">
        <v>1.1027792623381641E-2</v>
      </c>
    </row>
    <row r="6" spans="1:3">
      <c r="A6" s="36" t="s">
        <v>725</v>
      </c>
      <c r="B6" s="36">
        <v>8.9951644240564343E-2</v>
      </c>
      <c r="C6" s="36">
        <v>1.1591156813131217E-2</v>
      </c>
    </row>
    <row r="7" spans="1:3">
      <c r="A7" s="36" t="s">
        <v>726</v>
      </c>
      <c r="B7" s="36">
        <v>5.8501016049286925E-2</v>
      </c>
      <c r="C7" s="36">
        <v>1.2759066286485961E-2</v>
      </c>
    </row>
    <row r="8" spans="1:3">
      <c r="A8" s="36" t="s">
        <v>727</v>
      </c>
      <c r="B8" s="36">
        <v>8.0131825003071588E-2</v>
      </c>
      <c r="C8" s="36">
        <v>1.401453414138225E-2</v>
      </c>
    </row>
    <row r="9" spans="1:3">
      <c r="A9" s="36" t="s">
        <v>728</v>
      </c>
      <c r="B9" s="36">
        <v>0.1677431250374668</v>
      </c>
      <c r="C9" s="36">
        <v>1.5014669479836163E-2</v>
      </c>
    </row>
    <row r="10" spans="1:3">
      <c r="A10" s="36" t="s">
        <v>703</v>
      </c>
      <c r="B10" s="36">
        <v>3.0044419222394203E-2</v>
      </c>
      <c r="C10" s="36">
        <v>1.4894863556437812E-2</v>
      </c>
    </row>
    <row r="11" spans="1:3">
      <c r="A11" s="36" t="s">
        <v>704</v>
      </c>
      <c r="B11" s="36">
        <v>3.8327918152518237E-2</v>
      </c>
      <c r="C11" s="36">
        <v>1.7464539732107553E-2</v>
      </c>
    </row>
    <row r="12" spans="1:3">
      <c r="A12" s="36" t="s">
        <v>729</v>
      </c>
      <c r="B12" s="36">
        <v>4.8021255152064568E-2</v>
      </c>
      <c r="C12" s="36">
        <v>2.242090373068811E-2</v>
      </c>
    </row>
    <row r="13" spans="1:3">
      <c r="A13" s="36" t="s">
        <v>705</v>
      </c>
      <c r="B13" s="36">
        <v>7.4822618496200088E-2</v>
      </c>
      <c r="C13" s="36">
        <v>3.1223275858489878E-2</v>
      </c>
    </row>
    <row r="14" spans="1:3">
      <c r="A14" s="36" t="s">
        <v>706</v>
      </c>
      <c r="B14" s="36">
        <v>8.7731135120905024E-2</v>
      </c>
      <c r="C14" s="36">
        <v>3.6563327115590551E-2</v>
      </c>
    </row>
    <row r="15" spans="1:3">
      <c r="A15" s="36" t="s">
        <v>707</v>
      </c>
      <c r="B15" s="36">
        <v>9.9485567050195178E-2</v>
      </c>
      <c r="C15" s="36">
        <v>3.8107751229006968E-2</v>
      </c>
    </row>
    <row r="16" spans="1:3">
      <c r="A16" s="36" t="s">
        <v>730</v>
      </c>
      <c r="B16" s="36">
        <v>-1.6372257527627498E-2</v>
      </c>
      <c r="C16" s="36">
        <v>-9.2178028812270243E-4</v>
      </c>
    </row>
    <row r="17" spans="1:3">
      <c r="A17" s="36" t="s">
        <v>717</v>
      </c>
      <c r="B17" s="36">
        <v>3.1317466588177134E-2</v>
      </c>
      <c r="C17" s="36">
        <v>8.9725289607720286E-4</v>
      </c>
    </row>
    <row r="18" spans="1:3">
      <c r="A18" s="36" t="s">
        <v>718</v>
      </c>
      <c r="B18" s="36">
        <v>2.3859406558813689E-2</v>
      </c>
      <c r="C18" s="36">
        <v>1.1226546389989001E-3</v>
      </c>
    </row>
    <row r="19" spans="1:3">
      <c r="A19" s="36" t="s">
        <v>731</v>
      </c>
      <c r="B19" s="36">
        <v>1.7630722153379907E-2</v>
      </c>
      <c r="C19" s="36">
        <v>1.5821633260935217E-3</v>
      </c>
    </row>
    <row r="20" spans="1:3">
      <c r="A20" s="36" t="s">
        <v>732</v>
      </c>
      <c r="B20" s="36">
        <v>2.4208141514140524E-2</v>
      </c>
      <c r="C20" s="36">
        <v>2.0691024531515442E-3</v>
      </c>
    </row>
    <row r="21" spans="1:3">
      <c r="A21" s="36" t="s">
        <v>733</v>
      </c>
      <c r="B21" s="36">
        <v>9.4890108491605396E-3</v>
      </c>
      <c r="C21" s="36">
        <v>3.2806235817457513E-3</v>
      </c>
    </row>
    <row r="22" spans="1:3">
      <c r="A22" s="36" t="s">
        <v>734</v>
      </c>
      <c r="B22" s="36">
        <v>9.9635847693976265E-3</v>
      </c>
      <c r="C22" s="36">
        <v>4.3884906457475319E-3</v>
      </c>
    </row>
    <row r="23" spans="1:3">
      <c r="A23" s="36" t="s">
        <v>735</v>
      </c>
      <c r="B23" s="36">
        <v>5.9237428620704247E-3</v>
      </c>
      <c r="C23" s="36">
        <v>5.420365894594205E-3</v>
      </c>
    </row>
    <row r="24" spans="1:3">
      <c r="A24" s="36" t="s">
        <v>719</v>
      </c>
      <c r="B24" s="36">
        <v>8.3614670099494859E-2</v>
      </c>
      <c r="C24" s="36">
        <v>5.3233438494390776E-3</v>
      </c>
    </row>
    <row r="25" spans="1:3">
      <c r="A25" s="36" t="s">
        <v>736</v>
      </c>
      <c r="B25" s="36">
        <v>4.9970069558347818E-2</v>
      </c>
      <c r="C25" s="36">
        <v>7.2142350832971828E-3</v>
      </c>
    </row>
    <row r="26" spans="1:3">
      <c r="A26" s="36" t="s">
        <v>737</v>
      </c>
      <c r="B26" s="36">
        <v>4.9862309710244634E-2</v>
      </c>
      <c r="C26" s="36">
        <v>1.197182008192043E-2</v>
      </c>
    </row>
    <row r="27" spans="1:3">
      <c r="A27" s="36" t="s">
        <v>738</v>
      </c>
      <c r="B27" s="36">
        <v>5.7364666261805364E-2</v>
      </c>
      <c r="C27" s="36">
        <v>2.0832143793504367E-2</v>
      </c>
    </row>
    <row r="28" spans="1:3">
      <c r="A28" s="36" t="s">
        <v>739</v>
      </c>
      <c r="B28" s="36">
        <v>4.7187429302758099E-2</v>
      </c>
      <c r="C28" s="36">
        <v>2.5481620021134951E-2</v>
      </c>
    </row>
    <row r="29" spans="1:3">
      <c r="A29" s="36" t="s">
        <v>740</v>
      </c>
      <c r="B29" s="36">
        <v>6.0444847129716095E-2</v>
      </c>
      <c r="C29" s="36">
        <v>2.6936345091400238E-2</v>
      </c>
    </row>
    <row r="30" spans="1:3">
      <c r="A30" s="36" t="s">
        <v>741</v>
      </c>
      <c r="B30" s="36">
        <v>3.6506640961091685E-2</v>
      </c>
      <c r="C30" s="36">
        <v>4.6468640767773264E-3</v>
      </c>
    </row>
    <row r="31" spans="1:3">
      <c r="A31" s="36" t="s">
        <v>742</v>
      </c>
      <c r="B31" s="36">
        <v>1.9169373431769832E-2</v>
      </c>
      <c r="C31" s="36">
        <v>4.5854112236449916E-3</v>
      </c>
    </row>
    <row r="32" spans="1:3">
      <c r="A32" s="36" t="s">
        <v>743</v>
      </c>
      <c r="B32" s="36">
        <v>1.1456773996687097E-2</v>
      </c>
      <c r="C32" s="36">
        <v>4.9149881948760375E-3</v>
      </c>
    </row>
    <row r="33" spans="1:3">
      <c r="A33" s="36" t="s">
        <v>744</v>
      </c>
      <c r="B33" s="36">
        <v>1.4192485621192796E-3</v>
      </c>
      <c r="C33" s="36">
        <v>5.8230035408965829E-3</v>
      </c>
    </row>
    <row r="34" spans="1:3">
      <c r="A34" s="36" t="s">
        <v>745</v>
      </c>
      <c r="B34" s="36">
        <v>5.7924998213734202E-3</v>
      </c>
      <c r="C34" s="36">
        <v>5.2816674062073138E-3</v>
      </c>
    </row>
    <row r="35" spans="1:3">
      <c r="A35" s="36" t="s">
        <v>746</v>
      </c>
      <c r="B35" s="36">
        <v>-2.2158513854446671E-3</v>
      </c>
      <c r="C35" s="36">
        <v>4.8940172174917126E-3</v>
      </c>
    </row>
    <row r="36" spans="1:3">
      <c r="A36" s="36" t="s">
        <v>747</v>
      </c>
      <c r="B36" s="36">
        <v>-4.1805741165072963E-3</v>
      </c>
      <c r="C36" s="36">
        <v>6.2448506322197684E-3</v>
      </c>
    </row>
    <row r="37" spans="1:3">
      <c r="A37" s="36" t="s">
        <v>748</v>
      </c>
      <c r="B37" s="36">
        <v>-3.3166518099920772E-3</v>
      </c>
      <c r="C37" s="36">
        <v>7.2160725718920394E-3</v>
      </c>
    </row>
    <row r="38" spans="1:3">
      <c r="A38" s="36" t="s">
        <v>749</v>
      </c>
      <c r="B38" s="36">
        <v>3.3039112543929994E-3</v>
      </c>
      <c r="C38" s="36">
        <v>1.7683889020294014E-2</v>
      </c>
    </row>
    <row r="39" spans="1:3">
      <c r="A39" s="36" t="s">
        <v>750</v>
      </c>
      <c r="B39" s="36">
        <v>3.7376772850127304E-3</v>
      </c>
      <c r="C39" s="36">
        <v>2.3270016877635146E-2</v>
      </c>
    </row>
    <row r="40" spans="1:3">
      <c r="A40" s="36" t="s">
        <v>751</v>
      </c>
      <c r="B40" s="36">
        <v>3.3716219109805046E-3</v>
      </c>
      <c r="C40" s="36">
        <v>3.5621462851918147E-2</v>
      </c>
    </row>
    <row r="41" spans="1:3">
      <c r="A41" s="36" t="s">
        <v>752</v>
      </c>
      <c r="B41" s="36">
        <v>4.3232367083726575E-2</v>
      </c>
      <c r="C41" s="36">
        <v>2.7427703439603119E-2</v>
      </c>
    </row>
    <row r="42" spans="1:3">
      <c r="A42" s="36" t="s">
        <v>753</v>
      </c>
      <c r="B42" s="36">
        <v>6.5845008407476313E-2</v>
      </c>
      <c r="C42" s="36">
        <v>3.1934466753604944E-2</v>
      </c>
    </row>
    <row r="43" spans="1:3">
      <c r="A43" s="36" t="s">
        <v>754</v>
      </c>
      <c r="B43" s="36">
        <v>8.1582102070790641E-2</v>
      </c>
      <c r="C43" s="36">
        <v>3.3907562160101608E-2</v>
      </c>
    </row>
    <row r="44" spans="1:3">
      <c r="A44" s="36" t="s">
        <v>711</v>
      </c>
      <c r="B44" s="36">
        <v>0.11153977638046397</v>
      </c>
      <c r="C44" s="36">
        <v>1.2852505110352169E-3</v>
      </c>
    </row>
    <row r="45" spans="1:3">
      <c r="A45" s="36" t="s">
        <v>712</v>
      </c>
      <c r="B45" s="36">
        <v>4.5657033050101603E-3</v>
      </c>
      <c r="C45" s="36">
        <v>3.3802626495116452E-3</v>
      </c>
    </row>
    <row r="46" spans="1:3">
      <c r="A46" s="36" t="s">
        <v>713</v>
      </c>
      <c r="B46" s="36">
        <v>2.0465159531570354E-2</v>
      </c>
      <c r="C46" s="36">
        <v>1.5998540247504479E-3</v>
      </c>
    </row>
    <row r="47" spans="1:3">
      <c r="A47" s="36" t="s">
        <v>755</v>
      </c>
      <c r="B47" s="36">
        <v>7.16233731519067E-3</v>
      </c>
      <c r="C47" s="36">
        <v>2.3404081737538208E-3</v>
      </c>
    </row>
    <row r="48" spans="1:3">
      <c r="A48" s="36" t="s">
        <v>756</v>
      </c>
      <c r="B48" s="36">
        <v>1.2524318166950099E-2</v>
      </c>
      <c r="C48" s="36">
        <v>2.4557378163178436E-3</v>
      </c>
    </row>
    <row r="49" spans="1:3">
      <c r="A49" s="36" t="s">
        <v>757</v>
      </c>
      <c r="B49" s="36">
        <v>2.0087694860141392E-3</v>
      </c>
      <c r="C49" s="36">
        <v>4.6742500664113777E-3</v>
      </c>
    </row>
    <row r="50" spans="1:3">
      <c r="A50" s="36" t="s">
        <v>758</v>
      </c>
      <c r="B50" s="36">
        <v>1.6454942171544307E-3</v>
      </c>
      <c r="C50" s="36">
        <v>6.9741090430264089E-3</v>
      </c>
    </row>
    <row r="51" spans="1:3">
      <c r="A51" s="36" t="s">
        <v>759</v>
      </c>
      <c r="B51" s="36">
        <v>1.4239671906026707E-2</v>
      </c>
      <c r="C51" s="36">
        <v>6.292982172966032E-3</v>
      </c>
    </row>
    <row r="52" spans="1:3">
      <c r="A52" s="36" t="s">
        <v>714</v>
      </c>
      <c r="B52" s="36">
        <v>2.16828850740034E-2</v>
      </c>
      <c r="C52" s="36">
        <v>4.9951303584162702E-3</v>
      </c>
    </row>
    <row r="53" spans="1:3">
      <c r="A53" s="36" t="s">
        <v>715</v>
      </c>
      <c r="B53" s="36">
        <v>2.4637802757029315E-2</v>
      </c>
      <c r="C53" s="36">
        <v>8.0887021226400697E-3</v>
      </c>
    </row>
    <row r="54" spans="1:3">
      <c r="A54" s="36" t="s">
        <v>716</v>
      </c>
      <c r="B54" s="36">
        <v>2.8112280284264157E-2</v>
      </c>
      <c r="C54" s="36">
        <v>1.6075004699663477E-2</v>
      </c>
    </row>
    <row r="55" spans="1:3">
      <c r="A55" s="36" t="s">
        <v>760</v>
      </c>
      <c r="B55" s="36">
        <v>4.6420051405263174E-2</v>
      </c>
      <c r="C55" s="36">
        <v>2.8600030885655835E-2</v>
      </c>
    </row>
    <row r="56" spans="1:3">
      <c r="A56" s="36" t="s">
        <v>761</v>
      </c>
      <c r="B56" s="36">
        <v>6.1951319770430224E-2</v>
      </c>
      <c r="C56" s="36">
        <v>3.4621652776606407E-2</v>
      </c>
    </row>
    <row r="57" spans="1:3">
      <c r="A57" s="36" t="s">
        <v>762</v>
      </c>
      <c r="B57" s="36">
        <v>8.083225725608234E-2</v>
      </c>
      <c r="C57" s="36">
        <v>3.7440678847336949E-2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E85D-6FB2-B44C-AE7E-E0B0B2769C89}">
  <sheetPr codeName="Sheet36"/>
  <dimension ref="A1"/>
  <sheetViews>
    <sheetView workbookViewId="0">
      <selection activeCell="E18" sqref="E18"/>
    </sheetView>
  </sheetViews>
  <sheetFormatPr defaultColWidth="10.90625"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3</vt:i4>
      </vt:variant>
    </vt:vector>
  </HeadingPairs>
  <TitlesOfParts>
    <vt:vector size="37" baseType="lpstr">
      <vt:lpstr>Intro</vt:lpstr>
      <vt:lpstr>assignment</vt:lpstr>
      <vt:lpstr>Results</vt:lpstr>
      <vt:lpstr>ScenarioSet</vt:lpstr>
      <vt:lpstr>Trading Portfolio 2</vt:lpstr>
      <vt:lpstr>Trading Portfolio 3</vt:lpstr>
      <vt:lpstr>Trading Portfolio 4</vt:lpstr>
      <vt:lpstr>Trading Portfolio 5</vt:lpstr>
      <vt:lpstr>Trading Portfolio 7</vt:lpstr>
      <vt:lpstr>CADUSD FX Fwd</vt:lpstr>
      <vt:lpstr>EURCAD FX Fwd</vt:lpstr>
      <vt:lpstr>USDEUR FX Fwd</vt:lpstr>
      <vt:lpstr>Stock RNN</vt:lpstr>
      <vt:lpstr>Stock DJ</vt:lpstr>
      <vt:lpstr>Stock AOL</vt:lpstr>
      <vt:lpstr>RNN EQ Fwd</vt:lpstr>
      <vt:lpstr>DJ EQ Fwd</vt:lpstr>
      <vt:lpstr>AOL EQ Fwd</vt:lpstr>
      <vt:lpstr>bondmkt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GrowthNormalPara</vt:lpstr>
      <vt:lpstr>Data</vt:lpstr>
      <vt:lpstr>GBMPara</vt:lpstr>
      <vt:lpstr>BKModelPara</vt:lpstr>
      <vt:lpstr>OUModelPara</vt:lpstr>
      <vt:lpstr>Output File</vt:lpstr>
      <vt:lpstr>ISSUEID</vt:lpstr>
      <vt:lpstr>TOCURR</vt:lpstr>
      <vt:lpstr>tsim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Owner</cp:lastModifiedBy>
  <dcterms:created xsi:type="dcterms:W3CDTF">2013-11-02T19:30:01Z</dcterms:created>
  <dcterms:modified xsi:type="dcterms:W3CDTF">2020-06-19T16:19:58Z</dcterms:modified>
</cp:coreProperties>
</file>
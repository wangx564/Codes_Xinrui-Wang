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updateLinks="never" codeName="ThisWorkbook" defaultThemeVersion="124226"/>
  <mc:AlternateContent xmlns:mc="http://schemas.openxmlformats.org/markup-compatibility/2006">
    <mc:Choice Requires="x15">
      <x15ac:absPath xmlns:x15ac="http://schemas.microsoft.com/office/spreadsheetml/2010/11/ac" url="C:\Users\Owner\Desktop\"/>
    </mc:Choice>
  </mc:AlternateContent>
  <xr:revisionPtr revIDLastSave="0" documentId="13_ncr:1_{DA77D098-7640-4784-B544-4DFDEB6576C1}" xr6:coauthVersionLast="45" xr6:coauthVersionMax="45" xr10:uidLastSave="{00000000-0000-0000-0000-000000000000}"/>
  <bookViews>
    <workbookView xWindow="-110" yWindow="-110" windowWidth="19420" windowHeight="10560" tabRatio="806" activeTab="1" xr2:uid="{00000000-000D-0000-FFFF-FFFF00000000}"/>
  </bookViews>
  <sheets>
    <sheet name="Intro" sheetId="1" r:id="rId1"/>
    <sheet name="Input" sheetId="167" r:id="rId2"/>
    <sheet name="IRCAD" sheetId="30" r:id="rId3"/>
    <sheet name="IRUSD" sheetId="143" r:id="rId4"/>
    <sheet name="IRJPY" sheetId="63" r:id="rId5"/>
    <sheet name="IREUR" sheetId="37" r:id="rId6"/>
    <sheet name="IRGBP" sheetId="64" r:id="rId7"/>
    <sheet name="IRHKD" sheetId="65" r:id="rId8"/>
    <sheet name="IRAUD" sheetId="66" r:id="rId9"/>
    <sheet name="SpotFX" sheetId="62" r:id="rId10"/>
    <sheet name="bondmkt" sheetId="77" r:id="rId11"/>
    <sheet name="Shortlisted Securities" sheetId="160" state="hidden" r:id="rId12"/>
    <sheet name="BS1" sheetId="156" r:id="rId13"/>
    <sheet name="BS2" sheetId="163" r:id="rId14"/>
    <sheet name="BS3" sheetId="164" r:id="rId15"/>
  </sheets>
  <functionGroups builtInGroupCount="19"/>
  <externalReferences>
    <externalReference r:id="rId16"/>
    <externalReference r:id="rId17"/>
    <externalReference r:id="rId18"/>
    <externalReference r:id="rId19"/>
    <externalReference r:id="rId20"/>
  </externalReferences>
  <definedNames>
    <definedName name="_xlnm._FilterDatabase" localSheetId="10" hidden="1">bondmkt!$A$1:$P$266</definedName>
    <definedName name="bb">[1]Data!$E$2:$E$5</definedName>
    <definedName name="bs">[2]Data!$E$2:$E$5</definedName>
    <definedName name="cflow1" localSheetId="1">#REF!</definedName>
    <definedName name="cflow1">#REF!</definedName>
    <definedName name="cflow2" localSheetId="1">#REF!</definedName>
    <definedName name="cflow2">#REF!</definedName>
    <definedName name="ComRate">[3]Lookup!$F$5:$G$7</definedName>
    <definedName name="curr">#REF!</definedName>
    <definedName name="dvec" localSheetId="1">#REF!</definedName>
    <definedName name="dvec">#REF!</definedName>
    <definedName name="Index">[3]Beta!$C$5:$C$64</definedName>
    <definedName name="invA">[3]MatDef!$I$17:$K$19</definedName>
    <definedName name="lookup" localSheetId="1">#REF!</definedName>
    <definedName name="lookup">#REF!</definedName>
    <definedName name="regoutput">[3]Beta!$E$8:$M$28</definedName>
    <definedName name="SessionDate" localSheetId="1">[4]Intro!$F$5</definedName>
    <definedName name="SessionDate">Intro!$F$5</definedName>
    <definedName name="SessionDate_1">[5]Intro!$F$5</definedName>
    <definedName name="ShareA">[3]Beta!$B$5:$B$64</definedName>
    <definedName name="spotCAD" localSheetId="1">#REF!</definedName>
    <definedName name="spotCAD">#REF!</definedName>
    <definedName name="spotEUR" localSheetId="1">#REF!</definedName>
    <definedName name="spotEUR">#REF!</definedName>
    <definedName name="spotGBP" localSheetId="1">#REF!</definedName>
    <definedName name="spotGBP">#REF!</definedName>
    <definedName name="spotHKD" localSheetId="1">#REF!</definedName>
    <definedName name="spotHKD">#REF!</definedName>
    <definedName name="spotTWD" localSheetId="1">#REF!</definedName>
    <definedName name="spotTWD">#REF!</definedName>
    <definedName name="table1">#REF!</definedName>
    <definedName name="Y">[3]MatDef!$C$21:$C$23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 i="66" l="1"/>
  <c r="B4" i="65"/>
  <c r="B4" i="64"/>
  <c r="B4" i="37"/>
  <c r="B4" i="63"/>
  <c r="B4" i="143"/>
  <c r="B6" i="143" l="1"/>
  <c r="D16" i="160" l="1"/>
  <c r="B6" i="66" l="1"/>
  <c r="B6" i="65"/>
  <c r="B6" i="64"/>
  <c r="B6" i="37" l="1"/>
  <c r="B6" i="63"/>
  <c r="B6" i="3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ngee-5g8mxwwwtm</author>
  </authors>
  <commentList>
    <comment ref="D4" authorId="0" shapeId="0" xr:uid="{00000000-0006-0000-0100-000001000000}">
      <text>
        <r>
          <rPr>
            <b/>
            <sz val="8"/>
            <color rgb="FF000000"/>
            <rFont val="Tahoma"/>
            <family val="2"/>
          </rPr>
          <t>Alan:</t>
        </r>
        <r>
          <rPr>
            <sz val="8"/>
            <color rgb="FF000000"/>
            <rFont val="Tahoma"/>
            <family val="2"/>
          </rPr>
          <t xml:space="preserve">
</t>
        </r>
        <r>
          <rPr>
            <sz val="8"/>
            <color rgb="FF000000"/>
            <rFont val="Tahoma"/>
            <family val="2"/>
          </rPr>
          <t xml:space="preserve">Curve Unit contains two parts seperated by space. The first part indicates compounding frequency; the second part indicates Daycount Basis. Avaliable compounding frequencys are: SMP, ANNUAL, QUART, SEMI, MONT, CONT. SMP means simple compounding, CONT means Continuous compounding, etc. Avaliable Daycount Basis are actual/365, actual/actual, 30/365, 30/360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ayang</author>
  </authors>
  <commentList>
    <comment ref="D4" authorId="0" shapeId="0" xr:uid="{00000000-0006-0000-0200-000001000000}">
      <text>
        <r>
          <rPr>
            <b/>
            <sz val="8"/>
            <color indexed="81"/>
            <rFont val="Tahoma"/>
            <family val="2"/>
          </rPr>
          <t>ayang:</t>
        </r>
        <r>
          <rPr>
            <sz val="8"/>
            <color indexed="81"/>
            <rFont val="Tahoma"/>
            <family val="2"/>
          </rPr>
          <t xml:space="preserve">
SMP stands for simple compounding.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ayang</author>
  </authors>
  <commentList>
    <comment ref="D4" authorId="0" shapeId="0" xr:uid="{00000000-0006-0000-0300-000001000000}">
      <text>
        <r>
          <rPr>
            <b/>
            <sz val="8"/>
            <color indexed="81"/>
            <rFont val="Tahoma"/>
            <family val="2"/>
          </rPr>
          <t>ayang:</t>
        </r>
        <r>
          <rPr>
            <sz val="8"/>
            <color indexed="81"/>
            <rFont val="Tahoma"/>
            <family val="2"/>
          </rPr>
          <t xml:space="preserve">
SMP stands for simple compounding.</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ayang</author>
  </authors>
  <commentList>
    <comment ref="D4" authorId="0" shapeId="0" xr:uid="{00000000-0006-0000-0400-000001000000}">
      <text>
        <r>
          <rPr>
            <b/>
            <sz val="8"/>
            <color indexed="81"/>
            <rFont val="Tahoma"/>
            <family val="2"/>
          </rPr>
          <t>ayang:</t>
        </r>
        <r>
          <rPr>
            <sz val="8"/>
            <color indexed="81"/>
            <rFont val="Tahoma"/>
            <family val="2"/>
          </rPr>
          <t xml:space="preserve">
SMP stands for simple compounding.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ayang</author>
  </authors>
  <commentList>
    <comment ref="D4" authorId="0" shapeId="0" xr:uid="{00000000-0006-0000-0500-000001000000}">
      <text>
        <r>
          <rPr>
            <b/>
            <sz val="8"/>
            <color indexed="81"/>
            <rFont val="Tahoma"/>
            <family val="2"/>
          </rPr>
          <t>ayang:</t>
        </r>
        <r>
          <rPr>
            <sz val="8"/>
            <color indexed="81"/>
            <rFont val="Tahoma"/>
            <family val="2"/>
          </rPr>
          <t xml:space="preserve">
SMP stands for simple compounding.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ayang</author>
  </authors>
  <commentList>
    <comment ref="D4" authorId="0" shapeId="0" xr:uid="{00000000-0006-0000-0600-000001000000}">
      <text>
        <r>
          <rPr>
            <b/>
            <sz val="8"/>
            <color indexed="81"/>
            <rFont val="Tahoma"/>
            <family val="2"/>
          </rPr>
          <t>ayang:</t>
        </r>
        <r>
          <rPr>
            <sz val="8"/>
            <color indexed="81"/>
            <rFont val="Tahoma"/>
            <family val="2"/>
          </rPr>
          <t xml:space="preserve">
SMP stands for simple compounding.</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ayang</author>
  </authors>
  <commentList>
    <comment ref="D4" authorId="0" shapeId="0" xr:uid="{00000000-0006-0000-0700-000001000000}">
      <text>
        <r>
          <rPr>
            <b/>
            <sz val="8"/>
            <color indexed="81"/>
            <rFont val="Tahoma"/>
            <family val="2"/>
          </rPr>
          <t>ayang:</t>
        </r>
        <r>
          <rPr>
            <sz val="8"/>
            <color indexed="81"/>
            <rFont val="Tahoma"/>
            <family val="2"/>
          </rPr>
          <t xml:space="preserve">
SMP stands for simple compounding.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1" authorId="0" shapeId="0" xr:uid="{00000000-0006-0000-0900-000001000000}">
      <text>
        <r>
          <rPr>
            <b/>
            <sz val="8"/>
            <color indexed="81"/>
            <rFont val="Tahoma"/>
            <family val="2"/>
          </rPr>
          <t>Admin:</t>
        </r>
        <r>
          <rPr>
            <sz val="8"/>
            <color indexed="81"/>
            <rFont val="Tahoma"/>
            <family val="2"/>
          </rPr>
          <t xml:space="preserve">
Issuer's name, the corresponding id is ORG_ID. Issuer is the counterparty you do business with.</t>
        </r>
      </text>
    </comment>
    <comment ref="B1" authorId="0" shapeId="0" xr:uid="{00000000-0006-0000-0900-000002000000}">
      <text>
        <r>
          <rPr>
            <b/>
            <sz val="8"/>
            <color indexed="81"/>
            <rFont val="Tahoma"/>
            <family val="2"/>
          </rPr>
          <t>Admin:</t>
        </r>
        <r>
          <rPr>
            <sz val="8"/>
            <color indexed="81"/>
            <rFont val="Tahoma"/>
            <family val="2"/>
          </rPr>
          <t xml:space="preserve">
Market treaded instrument type. Can be either Fixed Rate Bond or Floating Rate Note.</t>
        </r>
      </text>
    </comment>
    <comment ref="C1" authorId="0" shapeId="0" xr:uid="{00000000-0006-0000-0900-000003000000}">
      <text>
        <r>
          <rPr>
            <b/>
            <sz val="8"/>
            <color indexed="81"/>
            <rFont val="Tahoma"/>
            <family val="2"/>
          </rPr>
          <t>Admin:</t>
        </r>
        <r>
          <rPr>
            <sz val="8"/>
            <color indexed="81"/>
            <rFont val="Tahoma"/>
            <family val="2"/>
          </rPr>
          <t xml:space="preserve">
Rating of bond.</t>
        </r>
      </text>
    </comment>
    <comment ref="D1" authorId="0" shapeId="0" xr:uid="{00000000-0006-0000-0900-000004000000}">
      <text>
        <r>
          <rPr>
            <b/>
            <sz val="8"/>
            <color indexed="81"/>
            <rFont val="Tahoma"/>
            <family val="2"/>
          </rPr>
          <t>Admin:</t>
        </r>
        <r>
          <rPr>
            <sz val="8"/>
            <color indexed="81"/>
            <rFont val="Tahoma"/>
            <family val="2"/>
          </rPr>
          <t xml:space="preserve">
Seniority class.</t>
        </r>
      </text>
    </comment>
    <comment ref="E1" authorId="0" shapeId="0" xr:uid="{00000000-0006-0000-0900-000005000000}">
      <text>
        <r>
          <rPr>
            <b/>
            <sz val="8"/>
            <color indexed="81"/>
            <rFont val="Tahoma"/>
            <family val="2"/>
          </rPr>
          <t>Admin:</t>
        </r>
        <r>
          <rPr>
            <sz val="8"/>
            <color indexed="81"/>
            <rFont val="Tahoma"/>
            <family val="2"/>
          </rPr>
          <t xml:space="preserve">
Instrument cash flow currency symbol.</t>
        </r>
      </text>
    </comment>
    <comment ref="F1" authorId="0" shapeId="0" xr:uid="{00000000-0006-0000-0900-000006000000}">
      <text>
        <r>
          <rPr>
            <b/>
            <sz val="8"/>
            <color indexed="81"/>
            <rFont val="Tahoma"/>
            <family val="2"/>
          </rPr>
          <t>Admin:</t>
        </r>
        <r>
          <rPr>
            <sz val="8"/>
            <color indexed="81"/>
            <rFont val="Tahoma"/>
            <family val="2"/>
          </rPr>
          <t xml:space="preserve">
Principal amount in thousand</t>
        </r>
      </text>
    </comment>
    <comment ref="G1" authorId="0" shapeId="0" xr:uid="{00000000-0006-0000-0900-000007000000}">
      <text>
        <r>
          <rPr>
            <b/>
            <sz val="8"/>
            <color indexed="81"/>
            <rFont val="Tahoma"/>
            <family val="2"/>
          </rPr>
          <t>Admin:</t>
        </r>
        <r>
          <rPr>
            <sz val="8"/>
            <color indexed="81"/>
            <rFont val="Tahoma"/>
            <family val="2"/>
          </rPr>
          <t xml:space="preserve">
Instrument id.</t>
        </r>
      </text>
    </comment>
    <comment ref="H1" authorId="0" shapeId="0" xr:uid="{00000000-0006-0000-0900-000008000000}">
      <text>
        <r>
          <rPr>
            <b/>
            <sz val="8"/>
            <color indexed="81"/>
            <rFont val="Tahoma"/>
            <family val="2"/>
          </rPr>
          <t>Admin:</t>
        </r>
        <r>
          <rPr>
            <sz val="8"/>
            <color indexed="81"/>
            <rFont val="Tahoma"/>
            <family val="2"/>
          </rPr>
          <t xml:space="preserve">
Country of the issuer</t>
        </r>
      </text>
    </comment>
    <comment ref="I1" authorId="0" shapeId="0" xr:uid="{00000000-0006-0000-0900-000009000000}">
      <text>
        <r>
          <rPr>
            <b/>
            <sz val="8"/>
            <color indexed="81"/>
            <rFont val="Tahoma"/>
            <family val="2"/>
          </rPr>
          <t>Admin:</t>
        </r>
        <r>
          <rPr>
            <sz val="8"/>
            <color indexed="81"/>
            <rFont val="Tahoma"/>
            <family val="2"/>
          </rPr>
          <t xml:space="preserve">
Counterparty id</t>
        </r>
      </text>
    </comment>
    <comment ref="J1" authorId="0" shapeId="0" xr:uid="{00000000-0006-0000-0900-00000A000000}">
      <text>
        <r>
          <rPr>
            <b/>
            <sz val="8"/>
            <color indexed="81"/>
            <rFont val="Tahoma"/>
            <family val="2"/>
          </rPr>
          <t>Admin:</t>
        </r>
        <r>
          <rPr>
            <sz val="8"/>
            <color indexed="81"/>
            <rFont val="Tahoma"/>
            <family val="2"/>
          </rPr>
          <t xml:space="preserve">
Number of days to maturity</t>
        </r>
      </text>
    </comment>
    <comment ref="K1" authorId="0" shapeId="0" xr:uid="{00000000-0006-0000-0900-00000B000000}">
      <text>
        <r>
          <rPr>
            <b/>
            <sz val="8"/>
            <color indexed="81"/>
            <rFont val="Tahoma"/>
            <family val="2"/>
          </rPr>
          <t>Admin:</t>
        </r>
        <r>
          <rPr>
            <sz val="8"/>
            <color indexed="81"/>
            <rFont val="Tahoma"/>
            <family val="2"/>
          </rPr>
          <t xml:space="preserve">
Maturity Date</t>
        </r>
      </text>
    </comment>
    <comment ref="L1" authorId="0" shapeId="0" xr:uid="{00000000-0006-0000-0900-00000C000000}">
      <text>
        <r>
          <rPr>
            <b/>
            <sz val="8"/>
            <color indexed="81"/>
            <rFont val="Tahoma"/>
            <family val="2"/>
          </rPr>
          <t>Admin:</t>
        </r>
        <r>
          <rPr>
            <sz val="8"/>
            <color indexed="81"/>
            <rFont val="Tahoma"/>
            <family val="2"/>
          </rPr>
          <t xml:space="preserve">
Fixed coupon rate with unit.</t>
        </r>
      </text>
    </comment>
    <comment ref="M1" authorId="0" shapeId="0" xr:uid="{00000000-0006-0000-0900-00000D000000}">
      <text>
        <r>
          <rPr>
            <b/>
            <sz val="8"/>
            <color indexed="81"/>
            <rFont val="Tahoma"/>
            <family val="2"/>
          </rPr>
          <t>Admin:</t>
        </r>
        <r>
          <rPr>
            <sz val="8"/>
            <color indexed="81"/>
            <rFont val="Tahoma"/>
            <family val="2"/>
          </rPr>
          <t xml:space="preserve">
Coupon payment term</t>
        </r>
      </text>
    </comment>
    <comment ref="N1" authorId="0" shapeId="0" xr:uid="{00000000-0006-0000-0900-00000E000000}">
      <text>
        <r>
          <rPr>
            <b/>
            <sz val="8"/>
            <color indexed="81"/>
            <rFont val="Tahoma"/>
            <family val="2"/>
          </rPr>
          <t>Admin:</t>
        </r>
        <r>
          <rPr>
            <sz val="8"/>
            <color indexed="81"/>
            <rFont val="Tahoma"/>
            <family val="2"/>
          </rPr>
          <t xml:space="preserve">
Domestic discount curve used to calculate present value or generating floating cashflow.</t>
        </r>
      </text>
    </comment>
    <comment ref="O1" authorId="0" shapeId="0" xr:uid="{00000000-0006-0000-0900-00000F000000}">
      <text>
        <r>
          <rPr>
            <b/>
            <sz val="8"/>
            <color indexed="81"/>
            <rFont val="Tahoma"/>
            <family val="2"/>
          </rPr>
          <t>Admin:</t>
        </r>
        <r>
          <rPr>
            <sz val="8"/>
            <color indexed="81"/>
            <rFont val="Tahoma"/>
            <family val="2"/>
          </rPr>
          <t xml:space="preserve">
Bond spread. Usually, used as scalar, no unit.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1" authorId="0" shapeId="0" xr:uid="{00000000-0006-0000-0A00-000001000000}">
      <text>
        <r>
          <rPr>
            <b/>
            <sz val="8"/>
            <color indexed="81"/>
            <rFont val="Tahoma"/>
            <family val="2"/>
          </rPr>
          <t>Admin:</t>
        </r>
        <r>
          <rPr>
            <sz val="8"/>
            <color indexed="81"/>
            <rFont val="Tahoma"/>
            <family val="2"/>
          </rPr>
          <t xml:space="preserve">
Issuer's name, the corresponding id is ORG_ID. Issuer is the counterparty you do business with.</t>
        </r>
      </text>
    </comment>
    <comment ref="B1" authorId="0" shapeId="0" xr:uid="{00000000-0006-0000-0A00-000002000000}">
      <text>
        <r>
          <rPr>
            <b/>
            <sz val="8"/>
            <color indexed="81"/>
            <rFont val="Tahoma"/>
            <family val="2"/>
          </rPr>
          <t>Admin:</t>
        </r>
        <r>
          <rPr>
            <sz val="8"/>
            <color indexed="81"/>
            <rFont val="Tahoma"/>
            <family val="2"/>
          </rPr>
          <t xml:space="preserve">
Market treaded instrument type. Can be either Fixed Rate Bond or Floating Rate Note.</t>
        </r>
      </text>
    </comment>
    <comment ref="C1" authorId="0" shapeId="0" xr:uid="{00000000-0006-0000-0A00-000003000000}">
      <text>
        <r>
          <rPr>
            <b/>
            <sz val="8"/>
            <color indexed="81"/>
            <rFont val="Tahoma"/>
            <family val="2"/>
          </rPr>
          <t>Admin:</t>
        </r>
        <r>
          <rPr>
            <sz val="8"/>
            <color indexed="81"/>
            <rFont val="Tahoma"/>
            <family val="2"/>
          </rPr>
          <t xml:space="preserve">
Rating of bond.</t>
        </r>
      </text>
    </comment>
    <comment ref="D1" authorId="0" shapeId="0" xr:uid="{00000000-0006-0000-0A00-000004000000}">
      <text>
        <r>
          <rPr>
            <b/>
            <sz val="8"/>
            <color indexed="81"/>
            <rFont val="Tahoma"/>
            <family val="2"/>
          </rPr>
          <t>Admin:</t>
        </r>
        <r>
          <rPr>
            <sz val="8"/>
            <color indexed="81"/>
            <rFont val="Tahoma"/>
            <family val="2"/>
          </rPr>
          <t xml:space="preserve">
Seniority class.</t>
        </r>
      </text>
    </comment>
    <comment ref="E1" authorId="0" shapeId="0" xr:uid="{00000000-0006-0000-0A00-000005000000}">
      <text>
        <r>
          <rPr>
            <b/>
            <sz val="8"/>
            <color indexed="81"/>
            <rFont val="Tahoma"/>
            <family val="2"/>
          </rPr>
          <t>Admin:</t>
        </r>
        <r>
          <rPr>
            <sz val="8"/>
            <color indexed="81"/>
            <rFont val="Tahoma"/>
            <family val="2"/>
          </rPr>
          <t xml:space="preserve">
Instrument cash flow currency symbol.</t>
        </r>
      </text>
    </comment>
    <comment ref="F1" authorId="0" shapeId="0" xr:uid="{00000000-0006-0000-0A00-000006000000}">
      <text>
        <r>
          <rPr>
            <b/>
            <sz val="8"/>
            <color indexed="81"/>
            <rFont val="Tahoma"/>
            <family val="2"/>
          </rPr>
          <t>Admin:</t>
        </r>
        <r>
          <rPr>
            <sz val="8"/>
            <color indexed="81"/>
            <rFont val="Tahoma"/>
            <family val="2"/>
          </rPr>
          <t xml:space="preserve">
Principal amount in million.</t>
        </r>
      </text>
    </comment>
    <comment ref="G1" authorId="0" shapeId="0" xr:uid="{00000000-0006-0000-0A00-000007000000}">
      <text>
        <r>
          <rPr>
            <b/>
            <sz val="8"/>
            <color indexed="81"/>
            <rFont val="Tahoma"/>
            <family val="2"/>
          </rPr>
          <t>Admin:</t>
        </r>
        <r>
          <rPr>
            <sz val="8"/>
            <color indexed="81"/>
            <rFont val="Tahoma"/>
            <family val="2"/>
          </rPr>
          <t xml:space="preserve">
Instrument id.</t>
        </r>
      </text>
    </comment>
    <comment ref="H1" authorId="0" shapeId="0" xr:uid="{00000000-0006-0000-0A00-000008000000}">
      <text>
        <r>
          <rPr>
            <b/>
            <sz val="8"/>
            <color indexed="81"/>
            <rFont val="Tahoma"/>
            <family val="2"/>
          </rPr>
          <t>Admin:</t>
        </r>
        <r>
          <rPr>
            <sz val="8"/>
            <color indexed="81"/>
            <rFont val="Tahoma"/>
            <family val="2"/>
          </rPr>
          <t xml:space="preserve">
Country of the issuer</t>
        </r>
      </text>
    </comment>
    <comment ref="I1" authorId="0" shapeId="0" xr:uid="{00000000-0006-0000-0A00-000009000000}">
      <text>
        <r>
          <rPr>
            <b/>
            <sz val="8"/>
            <color indexed="81"/>
            <rFont val="Tahoma"/>
            <family val="2"/>
          </rPr>
          <t>Admin:</t>
        </r>
        <r>
          <rPr>
            <sz val="8"/>
            <color indexed="81"/>
            <rFont val="Tahoma"/>
            <family val="2"/>
          </rPr>
          <t xml:space="preserve">
Counterparty id</t>
        </r>
      </text>
    </comment>
    <comment ref="J1" authorId="0" shapeId="0" xr:uid="{00000000-0006-0000-0A00-00000A000000}">
      <text>
        <r>
          <rPr>
            <b/>
            <sz val="8"/>
            <color indexed="81"/>
            <rFont val="Tahoma"/>
            <family val="2"/>
          </rPr>
          <t>Admin:</t>
        </r>
        <r>
          <rPr>
            <sz val="8"/>
            <color indexed="81"/>
            <rFont val="Tahoma"/>
            <family val="2"/>
          </rPr>
          <t xml:space="preserve">
Number of days to maturity</t>
        </r>
      </text>
    </comment>
    <comment ref="K1" authorId="0" shapeId="0" xr:uid="{00000000-0006-0000-0A00-00000B000000}">
      <text>
        <r>
          <rPr>
            <b/>
            <sz val="8"/>
            <color indexed="81"/>
            <rFont val="Tahoma"/>
            <family val="2"/>
          </rPr>
          <t>Admin:</t>
        </r>
        <r>
          <rPr>
            <sz val="8"/>
            <color indexed="81"/>
            <rFont val="Tahoma"/>
            <family val="2"/>
          </rPr>
          <t xml:space="preserve">
Maturity Date</t>
        </r>
      </text>
    </comment>
    <comment ref="L1" authorId="0" shapeId="0" xr:uid="{00000000-0006-0000-0A00-00000C000000}">
      <text>
        <r>
          <rPr>
            <b/>
            <sz val="8"/>
            <color indexed="81"/>
            <rFont val="Tahoma"/>
            <family val="2"/>
          </rPr>
          <t>Admin:</t>
        </r>
        <r>
          <rPr>
            <sz val="8"/>
            <color indexed="81"/>
            <rFont val="Tahoma"/>
            <family val="2"/>
          </rPr>
          <t xml:space="preserve">
Fixed coupon rate with unit.</t>
        </r>
      </text>
    </comment>
    <comment ref="M1" authorId="0" shapeId="0" xr:uid="{00000000-0006-0000-0A00-00000D000000}">
      <text>
        <r>
          <rPr>
            <b/>
            <sz val="8"/>
            <color indexed="81"/>
            <rFont val="Tahoma"/>
            <family val="2"/>
          </rPr>
          <t>Admin:</t>
        </r>
        <r>
          <rPr>
            <sz val="8"/>
            <color indexed="81"/>
            <rFont val="Tahoma"/>
            <family val="2"/>
          </rPr>
          <t xml:space="preserve">
Coupon payment term</t>
        </r>
      </text>
    </comment>
    <comment ref="N1" authorId="0" shapeId="0" xr:uid="{00000000-0006-0000-0A00-00000E000000}">
      <text>
        <r>
          <rPr>
            <b/>
            <sz val="8"/>
            <color indexed="81"/>
            <rFont val="Tahoma"/>
            <family val="2"/>
          </rPr>
          <t>Admin:</t>
        </r>
        <r>
          <rPr>
            <sz val="8"/>
            <color indexed="81"/>
            <rFont val="Tahoma"/>
            <family val="2"/>
          </rPr>
          <t xml:space="preserve">
Domestic discount curve used to calculate present value or generating floating cashflow.</t>
        </r>
      </text>
    </comment>
    <comment ref="O1" authorId="0" shapeId="0" xr:uid="{00000000-0006-0000-0A00-00000F000000}">
      <text>
        <r>
          <rPr>
            <b/>
            <sz val="8"/>
            <color indexed="81"/>
            <rFont val="Tahoma"/>
            <family val="2"/>
          </rPr>
          <t>Admin:</t>
        </r>
        <r>
          <rPr>
            <sz val="8"/>
            <color indexed="81"/>
            <rFont val="Tahoma"/>
            <family val="2"/>
          </rPr>
          <t xml:space="preserve">
Bond spread. Usually, used as scalar, no unit.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G1" authorId="0" shapeId="0" xr:uid="{00000000-0006-0000-0B00-000001000000}">
      <text>
        <r>
          <rPr>
            <b/>
            <sz val="8"/>
            <color rgb="FF000000"/>
            <rFont val="Tahoma"/>
            <family val="2"/>
          </rPr>
          <t>Admin:</t>
        </r>
        <r>
          <rPr>
            <sz val="8"/>
            <color rgb="FF000000"/>
            <rFont val="Tahoma"/>
            <family val="2"/>
          </rPr>
          <t xml:space="preserve">
</t>
        </r>
        <r>
          <rPr>
            <sz val="8"/>
            <color rgb="FF000000"/>
            <rFont val="Tahoma"/>
            <family val="2"/>
          </rPr>
          <t>own bank reporting currency</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G1" authorId="0" shapeId="0" xr:uid="{60D151FA-7DBF-9649-BAD7-AC21828F2F9A}">
      <text>
        <r>
          <rPr>
            <b/>
            <sz val="8"/>
            <color rgb="FF000000"/>
            <rFont val="Tahoma"/>
            <family val="2"/>
          </rPr>
          <t>Admin:</t>
        </r>
        <r>
          <rPr>
            <sz val="8"/>
            <color rgb="FF000000"/>
            <rFont val="Tahoma"/>
            <family val="2"/>
          </rPr>
          <t xml:space="preserve">
</t>
        </r>
        <r>
          <rPr>
            <sz val="8"/>
            <color rgb="FF000000"/>
            <rFont val="Tahoma"/>
            <family val="2"/>
          </rPr>
          <t>own bank reporting currency</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G1" authorId="0" shapeId="0" xr:uid="{7A31E394-16DB-364E-BA1F-C0D6E035CBCA}">
      <text>
        <r>
          <rPr>
            <b/>
            <sz val="8"/>
            <color rgb="FF000000"/>
            <rFont val="Tahoma"/>
            <family val="2"/>
          </rPr>
          <t>Admin:</t>
        </r>
        <r>
          <rPr>
            <sz val="8"/>
            <color rgb="FF000000"/>
            <rFont val="Tahoma"/>
            <family val="2"/>
          </rPr>
          <t xml:space="preserve">
</t>
        </r>
        <r>
          <rPr>
            <sz val="8"/>
            <color rgb="FF000000"/>
            <rFont val="Tahoma"/>
            <family val="2"/>
          </rPr>
          <t>own bank reporting currency</t>
        </r>
      </text>
    </comment>
  </commentList>
</comments>
</file>

<file path=xl/sharedStrings.xml><?xml version="1.0" encoding="utf-8"?>
<sst xmlns="http://schemas.openxmlformats.org/spreadsheetml/2006/main" count="3619" uniqueCount="729">
  <si>
    <t>B</t>
  </si>
  <si>
    <t>Name</t>
  </si>
  <si>
    <t>IRCAD</t>
  </si>
  <si>
    <t>Interpolate Term</t>
  </si>
  <si>
    <t>@Linear()</t>
  </si>
  <si>
    <t>ID</t>
  </si>
  <si>
    <t>Curve Unit</t>
  </si>
  <si>
    <t>Type</t>
  </si>
  <si>
    <t>Zero</t>
  </si>
  <si>
    <t>RiskMetrics Link</t>
  </si>
  <si>
    <t xml:space="preserve">Origin </t>
  </si>
  <si>
    <t>Term/Time</t>
  </si>
  <si>
    <t>Zero Coupon Discount Curve: IRCAD</t>
  </si>
  <si>
    <t>Fixed Rate Bond</t>
  </si>
  <si>
    <t>Currency</t>
  </si>
  <si>
    <t>USD</t>
  </si>
  <si>
    <t>IRUSD</t>
  </si>
  <si>
    <t>Floating Rate Note</t>
  </si>
  <si>
    <t>Discount Curve: IRUSD</t>
  </si>
  <si>
    <t>SMP actual/365</t>
  </si>
  <si>
    <t>Origin</t>
  </si>
  <si>
    <t>0.05 SMP actual/365</t>
  </si>
  <si>
    <t>1 months</t>
  </si>
  <si>
    <t>3 months</t>
  </si>
  <si>
    <t>6 months</t>
  </si>
  <si>
    <t>Asset:</t>
  </si>
  <si>
    <t>Units</t>
  </si>
  <si>
    <t>Liability:</t>
  </si>
  <si>
    <t>ISSUER/CP_NM</t>
  </si>
  <si>
    <t>TYPE</t>
  </si>
  <si>
    <t>BLR_RATING</t>
  </si>
  <si>
    <t>RECOVERY_RATING</t>
  </si>
  <si>
    <t>CURR_DESC</t>
  </si>
  <si>
    <t>FACILITY</t>
  </si>
  <si>
    <t>ISSUE_ID</t>
  </si>
  <si>
    <t>COUNTRY_DESC</t>
  </si>
  <si>
    <t>ORG_ID</t>
  </si>
  <si>
    <t>LIFE_TO_M</t>
  </si>
  <si>
    <t>MATURITY_DT</t>
  </si>
  <si>
    <t>COUPON_RATE</t>
  </si>
  <si>
    <t>COUPON_TERM</t>
  </si>
  <si>
    <t>DISCOUNT_CV</t>
  </si>
  <si>
    <t>SPREAD</t>
  </si>
  <si>
    <t>24 Hour Fitness Worldwide Inc.</t>
  </si>
  <si>
    <t>2</t>
  </si>
  <si>
    <t>600</t>
  </si>
  <si>
    <t>724002</t>
  </si>
  <si>
    <t>United States</t>
  </si>
  <si>
    <t>318828</t>
  </si>
  <si>
    <t>100</t>
  </si>
  <si>
    <t>724000</t>
  </si>
  <si>
    <t>75</t>
  </si>
  <si>
    <t>1117061</t>
  </si>
  <si>
    <t>1117062</t>
  </si>
  <si>
    <t>1 years</t>
  </si>
  <si>
    <t>ABB Ltd.</t>
  </si>
  <si>
    <t>3</t>
  </si>
  <si>
    <t>2000</t>
  </si>
  <si>
    <t>734304</t>
  </si>
  <si>
    <t>Switzerland</t>
  </si>
  <si>
    <t>338326</t>
  </si>
  <si>
    <t>Abertis Infraestructuras S.A.</t>
  </si>
  <si>
    <t>4</t>
  </si>
  <si>
    <t>EUR</t>
  </si>
  <si>
    <t>786939</t>
  </si>
  <si>
    <t>Spain</t>
  </si>
  <si>
    <t>381633</t>
  </si>
  <si>
    <t>Accellent Inc.</t>
  </si>
  <si>
    <t>1</t>
  </si>
  <si>
    <t>1101216</t>
  </si>
  <si>
    <t>353208</t>
  </si>
  <si>
    <t>ACCO Brands Corp.</t>
  </si>
  <si>
    <t>130</t>
  </si>
  <si>
    <t>730197</t>
  </si>
  <si>
    <t>390587</t>
  </si>
  <si>
    <t>ACE Cash Express Inc.</t>
  </si>
  <si>
    <t>155</t>
  </si>
  <si>
    <t>795432</t>
  </si>
  <si>
    <t>378408</t>
  </si>
  <si>
    <t>ACP/BREL UK Acquisition Limited</t>
  </si>
  <si>
    <t>5</t>
  </si>
  <si>
    <t>826686</t>
  </si>
  <si>
    <t>United Kingdom</t>
  </si>
  <si>
    <t>414865</t>
  </si>
  <si>
    <t>40</t>
  </si>
  <si>
    <t>826691</t>
  </si>
  <si>
    <t>Activant Solutions Inc.</t>
  </si>
  <si>
    <t>772536</t>
  </si>
  <si>
    <t>320277</t>
  </si>
  <si>
    <t>465</t>
  </si>
  <si>
    <t>772537</t>
  </si>
  <si>
    <t>Acument Global Technologies, Inc.</t>
  </si>
  <si>
    <t>325</t>
  </si>
  <si>
    <t>786906</t>
  </si>
  <si>
    <t>402864</t>
  </si>
  <si>
    <t>Acxiom Corp.</t>
  </si>
  <si>
    <t>80</t>
  </si>
  <si>
    <t>794650</t>
  </si>
  <si>
    <t>321550</t>
  </si>
  <si>
    <t>78</t>
  </si>
  <si>
    <t>794659</t>
  </si>
  <si>
    <t>120</t>
  </si>
  <si>
    <t>1093932</t>
  </si>
  <si>
    <t>372</t>
  </si>
  <si>
    <t>1093933</t>
  </si>
  <si>
    <t>Advance Food Co.</t>
  </si>
  <si>
    <t>821549</t>
  </si>
  <si>
    <t>413098</t>
  </si>
  <si>
    <t>175</t>
  </si>
  <si>
    <t>821552</t>
  </si>
  <si>
    <t>50</t>
  </si>
  <si>
    <t>821553</t>
  </si>
  <si>
    <t>6</t>
  </si>
  <si>
    <t>821554</t>
  </si>
  <si>
    <t>Advanced Disposal Services Inc.</t>
  </si>
  <si>
    <t>250</t>
  </si>
  <si>
    <t>1097191</t>
  </si>
  <si>
    <t>481160</t>
  </si>
  <si>
    <t>150</t>
  </si>
  <si>
    <t>1097192</t>
  </si>
  <si>
    <t>Advanced Homecare Holdings Inc. d/b/a Encompass Home Health Inc.</t>
  </si>
  <si>
    <t>25</t>
  </si>
  <si>
    <t>849949</t>
  </si>
  <si>
    <t>422411</t>
  </si>
  <si>
    <t>107</t>
  </si>
  <si>
    <t>849952</t>
  </si>
  <si>
    <t>29</t>
  </si>
  <si>
    <t>849960</t>
  </si>
  <si>
    <t>Advanstar Communications Inc.</t>
  </si>
  <si>
    <t>515</t>
  </si>
  <si>
    <t>834825</t>
  </si>
  <si>
    <t>111482</t>
  </si>
  <si>
    <t>AECO Gas Storage LP</t>
  </si>
  <si>
    <t>780507</t>
  </si>
  <si>
    <t>Canada</t>
  </si>
  <si>
    <t>401500</t>
  </si>
  <si>
    <t>200</t>
  </si>
  <si>
    <t>1122471</t>
  </si>
  <si>
    <t>AEI</t>
  </si>
  <si>
    <t>BB</t>
  </si>
  <si>
    <t>395</t>
  </si>
  <si>
    <t>821477</t>
  </si>
  <si>
    <t>Cayman Islands</t>
  </si>
  <si>
    <t>412951</t>
  </si>
  <si>
    <t>936</t>
  </si>
  <si>
    <t>821481</t>
  </si>
  <si>
    <t>105</t>
  </si>
  <si>
    <t>827929</t>
  </si>
  <si>
    <t>Aeroflex Inc.</t>
  </si>
  <si>
    <t>863811</t>
  </si>
  <si>
    <t>417533</t>
  </si>
  <si>
    <t>400</t>
  </si>
  <si>
    <t>863814</t>
  </si>
  <si>
    <t>125</t>
  </si>
  <si>
    <t>863816</t>
  </si>
  <si>
    <t>Aeroporti di Roma SpA</t>
  </si>
  <si>
    <t>170</t>
  </si>
  <si>
    <t>745466</t>
  </si>
  <si>
    <t>Italy</t>
  </si>
  <si>
    <t>352774</t>
  </si>
  <si>
    <t>745467</t>
  </si>
  <si>
    <t>39</t>
  </si>
  <si>
    <t>621602</t>
  </si>
  <si>
    <t>AES Eastern Energy L.P.</t>
  </si>
  <si>
    <t>883693</t>
  </si>
  <si>
    <t>333919</t>
  </si>
  <si>
    <t>Affinion Group Holdings Inc.</t>
  </si>
  <si>
    <t>350</t>
  </si>
  <si>
    <t>817311</t>
  </si>
  <si>
    <t>412258</t>
  </si>
  <si>
    <t>Affinion Group Inc.</t>
  </si>
  <si>
    <t>743824</t>
  </si>
  <si>
    <t>393073</t>
  </si>
  <si>
    <t>860</t>
  </si>
  <si>
    <t>743826</t>
  </si>
  <si>
    <t>875</t>
  </si>
  <si>
    <t>1115650</t>
  </si>
  <si>
    <t>1115651</t>
  </si>
  <si>
    <t>Affinity Group Inc.</t>
  </si>
  <si>
    <t>144</t>
  </si>
  <si>
    <t>1120951</t>
  </si>
  <si>
    <t>127228</t>
  </si>
  <si>
    <t xml:space="preserve">AGA Medical Corp. </t>
  </si>
  <si>
    <t>769953</t>
  </si>
  <si>
    <t>398680</t>
  </si>
  <si>
    <t>215</t>
  </si>
  <si>
    <t>769959</t>
  </si>
  <si>
    <t>AGL Energy</t>
  </si>
  <si>
    <t>BBB</t>
  </si>
  <si>
    <t>1066029</t>
  </si>
  <si>
    <t>Australia</t>
  </si>
  <si>
    <t>406961</t>
  </si>
  <si>
    <t>1066030</t>
  </si>
  <si>
    <t>AGS LLC</t>
  </si>
  <si>
    <t>20</t>
  </si>
  <si>
    <t>832708</t>
  </si>
  <si>
    <t>416049</t>
  </si>
  <si>
    <t>832712</t>
  </si>
  <si>
    <t>30</t>
  </si>
  <si>
    <t>832714</t>
  </si>
  <si>
    <t>Ainsworth Lumber Co. Ltd.</t>
  </si>
  <si>
    <t>103</t>
  </si>
  <si>
    <t>843166</t>
  </si>
  <si>
    <t>315229</t>
  </si>
  <si>
    <t>Ajman Sewerage (Private) Co. Ltd.</t>
  </si>
  <si>
    <t>765636</t>
  </si>
  <si>
    <t>United Arab Emirates</t>
  </si>
  <si>
    <t>397987</t>
  </si>
  <si>
    <t>Akzo Nobel N.V.</t>
  </si>
  <si>
    <t>1500</t>
  </si>
  <si>
    <t>783373</t>
  </si>
  <si>
    <t>Netherlands</t>
  </si>
  <si>
    <t>108518</t>
  </si>
  <si>
    <t>Alaska Communications Systems Holdings Inc.</t>
  </si>
  <si>
    <t>45</t>
  </si>
  <si>
    <t>700172</t>
  </si>
  <si>
    <t>333937</t>
  </si>
  <si>
    <t>427</t>
  </si>
  <si>
    <t>700174</t>
  </si>
  <si>
    <t>1400</t>
  </si>
  <si>
    <t>831934</t>
  </si>
  <si>
    <t>France</t>
  </si>
  <si>
    <t>118851</t>
  </si>
  <si>
    <t>Aleris International Inc.</t>
  </si>
  <si>
    <t>D</t>
  </si>
  <si>
    <t>825</t>
  </si>
  <si>
    <t>808678</t>
  </si>
  <si>
    <t>373749</t>
  </si>
  <si>
    <t>Alion Science and Technology Corp.</t>
  </si>
  <si>
    <t>237</t>
  </si>
  <si>
    <t>674848</t>
  </si>
  <si>
    <t>380131</t>
  </si>
  <si>
    <t>1110744</t>
  </si>
  <si>
    <t>AlixPartners LLP</t>
  </si>
  <si>
    <t>795611</t>
  </si>
  <si>
    <t>405823</t>
  </si>
  <si>
    <t>385</t>
  </si>
  <si>
    <t>795613</t>
  </si>
  <si>
    <t>Allegheny Energy Inc.</t>
  </si>
  <si>
    <t>1034883</t>
  </si>
  <si>
    <t>100039</t>
  </si>
  <si>
    <t>Allegheny Energy Supply Co. LLC</t>
  </si>
  <si>
    <t>773908</t>
  </si>
  <si>
    <t>342352</t>
  </si>
  <si>
    <t>767</t>
  </si>
  <si>
    <t>773922</t>
  </si>
  <si>
    <t>1000</t>
  </si>
  <si>
    <t>1083051</t>
  </si>
  <si>
    <t>Allen Systems Group Inc.</t>
  </si>
  <si>
    <t>260</t>
  </si>
  <si>
    <t>1088745</t>
  </si>
  <si>
    <t>364977</t>
  </si>
  <si>
    <t>95</t>
  </si>
  <si>
    <t>1088746</t>
  </si>
  <si>
    <t>Alliance HealthCare Services</t>
  </si>
  <si>
    <t>390</t>
  </si>
  <si>
    <t>696645</t>
  </si>
  <si>
    <t>110148</t>
  </si>
  <si>
    <t>55</t>
  </si>
  <si>
    <t>696646</t>
  </si>
  <si>
    <t>1092656</t>
  </si>
  <si>
    <t>450</t>
  </si>
  <si>
    <t>1092658</t>
  </si>
  <si>
    <t>Alliance Laundry Systems LLC</t>
  </si>
  <si>
    <t>699803</t>
  </si>
  <si>
    <t>322403</t>
  </si>
  <si>
    <t>699804</t>
  </si>
  <si>
    <t>Alliance One International Inc.</t>
  </si>
  <si>
    <t>270</t>
  </si>
  <si>
    <t>1067339</t>
  </si>
  <si>
    <t>117344</t>
  </si>
  <si>
    <t>Alliant Holdings I, Inc.</t>
  </si>
  <si>
    <t>60</t>
  </si>
  <si>
    <t>848525</t>
  </si>
  <si>
    <t>380814</t>
  </si>
  <si>
    <t>848529</t>
  </si>
  <si>
    <t>1063117</t>
  </si>
  <si>
    <t>Alliant Techsystems Inc.</t>
  </si>
  <si>
    <t>500</t>
  </si>
  <si>
    <t>825399</t>
  </si>
  <si>
    <t>130533</t>
  </si>
  <si>
    <t>275</t>
  </si>
  <si>
    <t>825404</t>
  </si>
  <si>
    <t>Allied Security Holdings LLC</t>
  </si>
  <si>
    <t>1024970</t>
  </si>
  <si>
    <t>379980</t>
  </si>
  <si>
    <t>330</t>
  </si>
  <si>
    <t>1024986</t>
  </si>
  <si>
    <t>Allison Transmission Inc.</t>
  </si>
  <si>
    <t>849238</t>
  </si>
  <si>
    <t>421702</t>
  </si>
  <si>
    <t>3100</t>
  </si>
  <si>
    <t>849241</t>
  </si>
  <si>
    <t>Alon USA Energy Inc.</t>
  </si>
  <si>
    <t>776965</t>
  </si>
  <si>
    <t>357877</t>
  </si>
  <si>
    <t>Alpha Schools (Highland) Project PLC</t>
  </si>
  <si>
    <t>GBP</t>
  </si>
  <si>
    <t>754488</t>
  </si>
  <si>
    <t>395534</t>
  </si>
  <si>
    <t>Altegrity, Inc.</t>
  </si>
  <si>
    <t>827</t>
  </si>
  <si>
    <t>855580</t>
  </si>
  <si>
    <t>367193</t>
  </si>
  <si>
    <t>90</t>
  </si>
  <si>
    <t>855581</t>
  </si>
  <si>
    <t>Aluma Systems Inc.</t>
  </si>
  <si>
    <t>180</t>
  </si>
  <si>
    <t>819704</t>
  </si>
  <si>
    <t>412886</t>
  </si>
  <si>
    <t>Alumina Ltd.</t>
  </si>
  <si>
    <t>836571</t>
  </si>
  <si>
    <t>366634</t>
  </si>
  <si>
    <t>700</t>
  </si>
  <si>
    <t>788173</t>
  </si>
  <si>
    <t>1018363</t>
  </si>
  <si>
    <t>AMC Entertainment Holdings Inc.</t>
  </si>
  <si>
    <t>841627</t>
  </si>
  <si>
    <t>419281</t>
  </si>
  <si>
    <t>AMC Entertainment Inc.</t>
  </si>
  <si>
    <t>758934</t>
  </si>
  <si>
    <t>107291</t>
  </si>
  <si>
    <t>650</t>
  </si>
  <si>
    <t>758935</t>
  </si>
  <si>
    <t>Amcor Finance (USA) Inc.</t>
  </si>
  <si>
    <t>425</t>
  </si>
  <si>
    <t>1109328</t>
  </si>
  <si>
    <t>302668</t>
  </si>
  <si>
    <t>341</t>
  </si>
  <si>
    <t>174</t>
  </si>
  <si>
    <t>Amcor Ltd.</t>
  </si>
  <si>
    <t>750</t>
  </si>
  <si>
    <t>783164</t>
  </si>
  <si>
    <t>113907</t>
  </si>
  <si>
    <t>783167</t>
  </si>
  <si>
    <t>Amcor UK Finance Ltd.</t>
  </si>
  <si>
    <t>481528</t>
  </si>
  <si>
    <t>AmerCable Inc.</t>
  </si>
  <si>
    <t>845095</t>
  </si>
  <si>
    <t>420019</t>
  </si>
  <si>
    <t>15</t>
  </si>
  <si>
    <t>849240</t>
  </si>
  <si>
    <t>Ameren Corp.</t>
  </si>
  <si>
    <t>1150</t>
  </si>
  <si>
    <t>732822</t>
  </si>
  <si>
    <t>319785</t>
  </si>
  <si>
    <t>American Achievement Corp.</t>
  </si>
  <si>
    <t>656115</t>
  </si>
  <si>
    <t>359927</t>
  </si>
  <si>
    <t>656120</t>
  </si>
  <si>
    <t>American Greetings Corp.</t>
  </si>
  <si>
    <t>771780</t>
  </si>
  <si>
    <t>100086</t>
  </si>
  <si>
    <t>771781</t>
  </si>
  <si>
    <t>American Media Operations Inc.</t>
  </si>
  <si>
    <t>759953</t>
  </si>
  <si>
    <t>114327</t>
  </si>
  <si>
    <t>65</t>
  </si>
  <si>
    <t>CCC</t>
  </si>
  <si>
    <t>136</t>
  </si>
  <si>
    <t>110</t>
  </si>
  <si>
    <t>375</t>
  </si>
  <si>
    <t>300</t>
  </si>
  <si>
    <t>550</t>
  </si>
  <si>
    <t>255</t>
  </si>
  <si>
    <t>219</t>
  </si>
  <si>
    <t>AAA</t>
  </si>
  <si>
    <t>115</t>
  </si>
  <si>
    <t>220</t>
  </si>
  <si>
    <t>280</t>
  </si>
  <si>
    <t>525</t>
  </si>
  <si>
    <t>3000</t>
  </si>
  <si>
    <t>CAD</t>
  </si>
  <si>
    <t>22</t>
  </si>
  <si>
    <t>CC</t>
  </si>
  <si>
    <t>102</t>
  </si>
  <si>
    <t>Germany</t>
  </si>
  <si>
    <t>109</t>
  </si>
  <si>
    <t>128</t>
  </si>
  <si>
    <t>285</t>
  </si>
  <si>
    <t>161</t>
  </si>
  <si>
    <t>675</t>
  </si>
  <si>
    <t>160</t>
  </si>
  <si>
    <t>295</t>
  </si>
  <si>
    <t>37</t>
  </si>
  <si>
    <t>1091913</t>
  </si>
  <si>
    <t>246</t>
  </si>
  <si>
    <t>135</t>
  </si>
  <si>
    <t>1300</t>
  </si>
  <si>
    <t>335</t>
  </si>
  <si>
    <t>1850</t>
  </si>
  <si>
    <t>575</t>
  </si>
  <si>
    <t>520</t>
  </si>
  <si>
    <t>23</t>
  </si>
  <si>
    <t>48</t>
  </si>
  <si>
    <t>Itron Inc.</t>
  </si>
  <si>
    <t>826175</t>
  </si>
  <si>
    <t>374381</t>
  </si>
  <si>
    <t>826176</t>
  </si>
  <si>
    <t>826177</t>
  </si>
  <si>
    <t>605</t>
  </si>
  <si>
    <t>826178</t>
  </si>
  <si>
    <t>Ivy Hill Corp.</t>
  </si>
  <si>
    <t>106</t>
  </si>
  <si>
    <t>776538</t>
  </si>
  <si>
    <t>400550</t>
  </si>
  <si>
    <t>J. Crew Operating Corp.</t>
  </si>
  <si>
    <t>774332</t>
  </si>
  <si>
    <t>399885</t>
  </si>
  <si>
    <t>Jack in the Box Inc.</t>
  </si>
  <si>
    <t>809751</t>
  </si>
  <si>
    <t>111625</t>
  </si>
  <si>
    <t>475</t>
  </si>
  <si>
    <t>809754</t>
  </si>
  <si>
    <t>Jacobs Entertainment Inc.</t>
  </si>
  <si>
    <t>776630</t>
  </si>
  <si>
    <t>359495</t>
  </si>
  <si>
    <t>776632</t>
  </si>
  <si>
    <t>776633</t>
  </si>
  <si>
    <t>Jacuzzi Brands Corp.</t>
  </si>
  <si>
    <t>818413</t>
  </si>
  <si>
    <t>412666</t>
  </si>
  <si>
    <t>818415</t>
  </si>
  <si>
    <t>Janus Capital Group Inc.</t>
  </si>
  <si>
    <t>843845</t>
  </si>
  <si>
    <t>352137</t>
  </si>
  <si>
    <t>Jarden Corp.</t>
  </si>
  <si>
    <t>373</t>
  </si>
  <si>
    <t>687637</t>
  </si>
  <si>
    <t>361152</t>
  </si>
  <si>
    <t>1081513</t>
  </si>
  <si>
    <t>1081514</t>
  </si>
  <si>
    <t>274</t>
  </si>
  <si>
    <t>1081515</t>
  </si>
  <si>
    <t>JHCI Acquisition Inc.</t>
  </si>
  <si>
    <t>839256</t>
  </si>
  <si>
    <t>418462</t>
  </si>
  <si>
    <t>839272</t>
  </si>
  <si>
    <t>839274</t>
  </si>
  <si>
    <t>John Fairfax Publications Pty Ltd.</t>
  </si>
  <si>
    <t>423</t>
  </si>
  <si>
    <t>1060706</t>
  </si>
  <si>
    <t>375821</t>
  </si>
  <si>
    <t>389</t>
  </si>
  <si>
    <t>John Henry Holdings Inc.</t>
  </si>
  <si>
    <t>768784</t>
  </si>
  <si>
    <t>398653</t>
  </si>
  <si>
    <t>768918</t>
  </si>
  <si>
    <t>768945</t>
  </si>
  <si>
    <t>1116020</t>
  </si>
  <si>
    <t>1116021</t>
  </si>
  <si>
    <t>John Maneely Co.</t>
  </si>
  <si>
    <t>804774</t>
  </si>
  <si>
    <t>398083</t>
  </si>
  <si>
    <t>804797</t>
  </si>
  <si>
    <t>Johnson Diversey Netherlands II B.V.</t>
  </si>
  <si>
    <t>1091909</t>
  </si>
  <si>
    <t>479709</t>
  </si>
  <si>
    <t>JohnsonDiversey Canada Inc.</t>
  </si>
  <si>
    <t>1091906</t>
  </si>
  <si>
    <t>479711</t>
  </si>
  <si>
    <t>1064701</t>
  </si>
  <si>
    <t>465422</t>
  </si>
  <si>
    <t>1064702</t>
  </si>
  <si>
    <t>1064703</t>
  </si>
  <si>
    <t>Kansas City Southern Railway Co.</t>
  </si>
  <si>
    <t>836254</t>
  </si>
  <si>
    <t>101277</t>
  </si>
  <si>
    <t>774361</t>
  </si>
  <si>
    <t>774364</t>
  </si>
  <si>
    <t>KAR Auction Services Inc.</t>
  </si>
  <si>
    <t>826923</t>
  </si>
  <si>
    <t>414621</t>
  </si>
  <si>
    <t>1248</t>
  </si>
  <si>
    <t>826926</t>
  </si>
  <si>
    <t>Kazakh Agrarian Credit Corp.</t>
  </si>
  <si>
    <t>899681</t>
  </si>
  <si>
    <t>Kazakhstan</t>
  </si>
  <si>
    <t>407253</t>
  </si>
  <si>
    <t>Kazakhstan Electricity Grid Operating Co. (JSC)</t>
  </si>
  <si>
    <t>1017619</t>
  </si>
  <si>
    <t>326883</t>
  </si>
  <si>
    <t>1017640</t>
  </si>
  <si>
    <t>1017650</t>
  </si>
  <si>
    <t>1017656</t>
  </si>
  <si>
    <t>Keane International Inc.</t>
  </si>
  <si>
    <t>830892</t>
  </si>
  <si>
    <t>416099</t>
  </si>
  <si>
    <t>830893</t>
  </si>
  <si>
    <t>830894</t>
  </si>
  <si>
    <t>Kerasotes Showplace Theatres LLC</t>
  </si>
  <si>
    <t>742461</t>
  </si>
  <si>
    <t>382230</t>
  </si>
  <si>
    <t>742462</t>
  </si>
  <si>
    <t>Kerling PLC</t>
  </si>
  <si>
    <t>1099594</t>
  </si>
  <si>
    <t>480048</t>
  </si>
  <si>
    <t>Keystone Automotive Operations Inc.</t>
  </si>
  <si>
    <t>809759</t>
  </si>
  <si>
    <t>353571</t>
  </si>
  <si>
    <t>kgb</t>
  </si>
  <si>
    <t>804173</t>
  </si>
  <si>
    <t>402395</t>
  </si>
  <si>
    <t>804176</t>
  </si>
  <si>
    <t>126</t>
  </si>
  <si>
    <t>1122360</t>
  </si>
  <si>
    <t>1013809</t>
  </si>
  <si>
    <t>KGen LLC</t>
  </si>
  <si>
    <t>816952</t>
  </si>
  <si>
    <t>386207</t>
  </si>
  <si>
    <t>816953</t>
  </si>
  <si>
    <t>816954</t>
  </si>
  <si>
    <t>KIK Custom Products Inc.</t>
  </si>
  <si>
    <t>834059</t>
  </si>
  <si>
    <t>417100</t>
  </si>
  <si>
    <t>834073</t>
  </si>
  <si>
    <t>235</t>
  </si>
  <si>
    <t>834074</t>
  </si>
  <si>
    <t>1053779</t>
  </si>
  <si>
    <t>KIK Holdco Co.</t>
  </si>
  <si>
    <t>468500</t>
  </si>
  <si>
    <t>Kinder Morgan Inc.</t>
  </si>
  <si>
    <t>838693</t>
  </si>
  <si>
    <t>101267</t>
  </si>
  <si>
    <t>Kinetek Holdings Corp.</t>
  </si>
  <si>
    <t>800669</t>
  </si>
  <si>
    <t>308491</t>
  </si>
  <si>
    <t>800671</t>
  </si>
  <si>
    <t>800672</t>
  </si>
  <si>
    <t>Kinetic Concepts Inc.</t>
  </si>
  <si>
    <t>898589</t>
  </si>
  <si>
    <t>318076</t>
  </si>
  <si>
    <t>898601</t>
  </si>
  <si>
    <t>King Pharmaceuticals Inc.</t>
  </si>
  <si>
    <t>1032484</t>
  </si>
  <si>
    <t>330208</t>
  </si>
  <si>
    <t>1032485</t>
  </si>
  <si>
    <t>Kingdom of Bahrain</t>
  </si>
  <si>
    <t>584088</t>
  </si>
  <si>
    <t>Bahrain</t>
  </si>
  <si>
    <t>363070</t>
  </si>
  <si>
    <t>584089</t>
  </si>
  <si>
    <t>Knology Inc.</t>
  </si>
  <si>
    <t>820753</t>
  </si>
  <si>
    <t>377041</t>
  </si>
  <si>
    <t>609</t>
  </si>
  <si>
    <t>820755</t>
  </si>
  <si>
    <t>Koosharem Corporation</t>
  </si>
  <si>
    <t>863750</t>
  </si>
  <si>
    <t>401844</t>
  </si>
  <si>
    <t>841641</t>
  </si>
  <si>
    <t>841645</t>
  </si>
  <si>
    <t>841646</t>
  </si>
  <si>
    <t>Kraton Polymers LLC</t>
  </si>
  <si>
    <t>774370</t>
  </si>
  <si>
    <t>348750</t>
  </si>
  <si>
    <t>Krispy Kreme Doughnut Corp.</t>
  </si>
  <si>
    <t>852393</t>
  </si>
  <si>
    <t>423565</t>
  </si>
  <si>
    <t>852394</t>
  </si>
  <si>
    <t>Kroger Co.</t>
  </si>
  <si>
    <t>2500</t>
  </si>
  <si>
    <t>808707</t>
  </si>
  <si>
    <t>101323</t>
  </si>
  <si>
    <t>Kronos Inc.</t>
  </si>
  <si>
    <t>835700</t>
  </si>
  <si>
    <t>417542</t>
  </si>
  <si>
    <t>835698</t>
  </si>
  <si>
    <t>355</t>
  </si>
  <si>
    <t>835702</t>
  </si>
  <si>
    <t>1100483</t>
  </si>
  <si>
    <t>452279</t>
  </si>
  <si>
    <t>159</t>
  </si>
  <si>
    <t>1021085</t>
  </si>
  <si>
    <t>1021088</t>
  </si>
  <si>
    <t>La Paloma Generating Co. LLC</t>
  </si>
  <si>
    <t>736303</t>
  </si>
  <si>
    <t>391685</t>
  </si>
  <si>
    <t>736307</t>
  </si>
  <si>
    <t>21</t>
  </si>
  <si>
    <t>736308</t>
  </si>
  <si>
    <t>736592</t>
  </si>
  <si>
    <t>736594</t>
  </si>
  <si>
    <t>LabelCorp Holdings Inc.</t>
  </si>
  <si>
    <t>1021229</t>
  </si>
  <si>
    <t>452272</t>
  </si>
  <si>
    <t>1021232</t>
  </si>
  <si>
    <t>1021259</t>
  </si>
  <si>
    <t>1021263</t>
  </si>
  <si>
    <t>Laboratory Corporation of America Holdings</t>
  </si>
  <si>
    <t>863468</t>
  </si>
  <si>
    <t>314930</t>
  </si>
  <si>
    <t>863473</t>
  </si>
  <si>
    <t>Lafarge S.A.</t>
  </si>
  <si>
    <t>691565</t>
  </si>
  <si>
    <t>114880</t>
  </si>
  <si>
    <t>Lamar Media Corp.</t>
  </si>
  <si>
    <t>737695</t>
  </si>
  <si>
    <t>121511</t>
  </si>
  <si>
    <t>737699</t>
  </si>
  <si>
    <t>827924</t>
  </si>
  <si>
    <t>827925</t>
  </si>
  <si>
    <t>827927</t>
  </si>
  <si>
    <t>7</t>
  </si>
  <si>
    <t>827928</t>
  </si>
  <si>
    <t>827930</t>
  </si>
  <si>
    <t>827931</t>
  </si>
  <si>
    <t>1119824</t>
  </si>
  <si>
    <t>1119826</t>
  </si>
  <si>
    <t>1119827</t>
  </si>
  <si>
    <t>Land O'Lakes Inc.</t>
  </si>
  <si>
    <t>1089654</t>
  </si>
  <si>
    <t>103574</t>
  </si>
  <si>
    <t>Landry's Restaurants Inc.</t>
  </si>
  <si>
    <t>1093624</t>
  </si>
  <si>
    <t>382638</t>
  </si>
  <si>
    <t>1093625</t>
  </si>
  <si>
    <t>Language Line LLC</t>
  </si>
  <si>
    <t>1087797</t>
  </si>
  <si>
    <t>478623</t>
  </si>
  <si>
    <t>1087798</t>
  </si>
  <si>
    <t>LANXESS AG</t>
  </si>
  <si>
    <t>871274</t>
  </si>
  <si>
    <t>382904</t>
  </si>
  <si>
    <t>Las Vegas Sands LLC</t>
  </si>
  <si>
    <t>830800</t>
  </si>
  <si>
    <t>318099</t>
  </si>
  <si>
    <t>830792</t>
  </si>
  <si>
    <t>830807</t>
  </si>
  <si>
    <t>830828</t>
  </si>
  <si>
    <t>Laureate Education Inc.</t>
  </si>
  <si>
    <t>850058</t>
  </si>
  <si>
    <t>422319</t>
  </si>
  <si>
    <t>850059</t>
  </si>
  <si>
    <t>850063</t>
  </si>
  <si>
    <t>1084748</t>
  </si>
  <si>
    <t>LBI Media Inc.</t>
  </si>
  <si>
    <t>768591</t>
  </si>
  <si>
    <t>362960</t>
  </si>
  <si>
    <t>768592</t>
  </si>
  <si>
    <t>Lear Corp.</t>
  </si>
  <si>
    <t>1091902</t>
  </si>
  <si>
    <t>112717</t>
  </si>
  <si>
    <t>1091903</t>
  </si>
  <si>
    <t>Learning Care Group (US) Inc.</t>
  </si>
  <si>
    <t>1011916</t>
  </si>
  <si>
    <t>448355</t>
  </si>
  <si>
    <t>1011919</t>
  </si>
  <si>
    <t>Learning Care Group (US) No. 2 Inc</t>
  </si>
  <si>
    <t>1108315</t>
  </si>
  <si>
    <t>483737</t>
  </si>
  <si>
    <t>Leighton Finance Ltd.</t>
  </si>
  <si>
    <t>1034850</t>
  </si>
  <si>
    <t>458440</t>
  </si>
  <si>
    <t>Leighton Holdings Ltd.</t>
  </si>
  <si>
    <t>152</t>
  </si>
  <si>
    <t>513722</t>
  </si>
  <si>
    <t>127018</t>
  </si>
  <si>
    <t>Leisureworld Senior Care LP</t>
  </si>
  <si>
    <t>889363</t>
  </si>
  <si>
    <t>392735</t>
  </si>
  <si>
    <t>HKD</t>
  </si>
  <si>
    <t>IREUR</t>
  </si>
  <si>
    <t>Datum</t>
  </si>
  <si>
    <t>Note: assume today's date for all the exercises is SessionDate:</t>
  </si>
  <si>
    <t>Spot Exchange Rate</t>
  </si>
  <si>
    <t>From / To</t>
  </si>
  <si>
    <t>US Discount Curve:</t>
  </si>
  <si>
    <t>CAD Discount Curve:</t>
  </si>
  <si>
    <t xml:space="preserve">EUR Discount Curve: </t>
  </si>
  <si>
    <t xml:space="preserve">GBP Discount Curve: </t>
  </si>
  <si>
    <t>IRGBP</t>
  </si>
  <si>
    <t xml:space="preserve">HKD Discount Curve: </t>
  </si>
  <si>
    <t>IRHKD</t>
  </si>
  <si>
    <t xml:space="preserve">TWD Discount Curve: </t>
  </si>
  <si>
    <t>IRTWD</t>
  </si>
  <si>
    <t>IRJPY</t>
  </si>
  <si>
    <t>AlcatelLucent</t>
  </si>
  <si>
    <t>KS Aktiengesellschaft</t>
  </si>
  <si>
    <t>L1 Identity Solutions Inc.</t>
  </si>
  <si>
    <t>LAST_REST_RATE</t>
  </si>
  <si>
    <t>1053780</t>
  </si>
  <si>
    <t>1060707</t>
  </si>
  <si>
    <t>1060708</t>
  </si>
  <si>
    <t>687638</t>
  </si>
  <si>
    <t>754489</t>
  </si>
  <si>
    <t>765637</t>
  </si>
  <si>
    <t>768593</t>
  </si>
  <si>
    <t>834060</t>
  </si>
  <si>
    <t>843167</t>
  </si>
  <si>
    <t>899682</t>
  </si>
  <si>
    <t>1109331</t>
  </si>
  <si>
    <t>1109329</t>
  </si>
  <si>
    <t>1109330</t>
  </si>
  <si>
    <t>1109332</t>
  </si>
  <si>
    <t>1109333</t>
  </si>
  <si>
    <t>1109334</t>
  </si>
  <si>
    <t>1109335</t>
  </si>
  <si>
    <t>1109336</t>
  </si>
  <si>
    <t>850057</t>
  </si>
  <si>
    <t>1091914</t>
  </si>
  <si>
    <t>buy LT liability</t>
  </si>
  <si>
    <t>buy ST asset</t>
  </si>
  <si>
    <t>buy</t>
  </si>
  <si>
    <t>General Information:</t>
  </si>
  <si>
    <t>Tradable Assets</t>
  </si>
  <si>
    <t>SMP actual/actual</t>
  </si>
  <si>
    <t>eco2508</t>
  </si>
  <si>
    <t>JPY</t>
  </si>
  <si>
    <t xml:space="preserve">JPY Discount Curve: </t>
  </si>
  <si>
    <t>AUD</t>
  </si>
  <si>
    <t>IRAUD</t>
  </si>
  <si>
    <t>Steepener Shock</t>
  </si>
  <si>
    <t>Flatterner Shock</t>
  </si>
  <si>
    <t>Short Rates Shock Up</t>
  </si>
  <si>
    <t>Short Rates Shock Down</t>
  </si>
  <si>
    <t>Parallel Up</t>
  </si>
  <si>
    <t>Parallel Down</t>
  </si>
  <si>
    <t>Simulation Date</t>
  </si>
  <si>
    <t>Balance Sheet</t>
  </si>
  <si>
    <t>Bond File</t>
  </si>
  <si>
    <t>FX</t>
  </si>
  <si>
    <t>bondmkt</t>
  </si>
  <si>
    <t>SpotFX</t>
  </si>
  <si>
    <t>Scenario</t>
  </si>
  <si>
    <t>Base</t>
  </si>
  <si>
    <t>Duration Gap:</t>
  </si>
  <si>
    <r>
      <t xml:space="preserve">Asset Liability Management: Duration Gap Requirement
</t>
    </r>
    <r>
      <rPr>
        <sz val="14"/>
        <rFont val="Arial"/>
        <family val="2"/>
      </rPr>
      <t xml:space="preserve">Given inputs on row 3 form range: B3 to F3. Calculate Duration Gap for the  Balance Sheet given in the  drop down list  C3 with Scenario set given in the dropdown list F3. Export your calculation result in A3 once the "Click to Run" button is clicked. Note: simulation date is fixed equal to session date and given in B3.
</t>
    </r>
  </si>
  <si>
    <t>BS1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</si>
</sst>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0000000"/>
    <numFmt numFmtId="165" formatCode="dd/mm/yyyy;@"/>
    <numFmt numFmtId="166" formatCode="#,##0.0000"/>
    <numFmt numFmtId="167" formatCode="0.00000000000"/>
    <numFmt numFmtId="168" formatCode="yyyy/mm/dd;@"/>
    <numFmt numFmtId="169" formatCode="0.000000"/>
  </numFmts>
  <fonts count="23" x14ac:knownFonts="1">
    <font>
      <sz val="10"/>
      <name val="Arial"/>
      <family val="2"/>
    </font>
    <font>
      <sz val="11"/>
      <color theme="1"/>
      <name val="Calibri"/>
      <family val="2"/>
      <scheme val="minor"/>
    </font>
    <font>
      <sz val="10"/>
      <name val="Arial"/>
      <family val="2"/>
    </font>
    <font>
      <sz val="9"/>
      <name val="宋体"/>
      <family val="3"/>
      <charset val="134"/>
    </font>
    <font>
      <b/>
      <sz val="10"/>
      <name val="Arial"/>
      <family val="2"/>
    </font>
    <font>
      <u/>
      <sz val="10"/>
      <color indexed="12"/>
      <name val="Arial"/>
      <family val="2"/>
    </font>
    <font>
      <sz val="8"/>
      <color indexed="81"/>
      <name val="Tahoma"/>
      <family val="2"/>
    </font>
    <font>
      <b/>
      <sz val="8"/>
      <color indexed="81"/>
      <name val="Tahoma"/>
      <family val="2"/>
    </font>
    <font>
      <sz val="16"/>
      <name val="Arial"/>
      <family val="2"/>
    </font>
    <font>
      <sz val="10"/>
      <color rgb="FFFF0000"/>
      <name val="Arial"/>
      <family val="2"/>
    </font>
    <font>
      <b/>
      <sz val="16"/>
      <name val="Arial"/>
      <family val="2"/>
    </font>
    <font>
      <b/>
      <sz val="12"/>
      <color rgb="FF00B050"/>
      <name val="Arial"/>
      <family val="2"/>
    </font>
    <font>
      <b/>
      <sz val="9"/>
      <name val="Arial"/>
      <family val="2"/>
    </font>
    <font>
      <sz val="9"/>
      <name val="Arial"/>
      <family val="2"/>
    </font>
    <font>
      <b/>
      <sz val="8"/>
      <color rgb="FF000000"/>
      <name val="Tahoma"/>
      <family val="2"/>
    </font>
    <font>
      <sz val="8"/>
      <color rgb="FF000000"/>
      <name val="Tahoma"/>
      <family val="2"/>
    </font>
    <font>
      <b/>
      <sz val="18"/>
      <name val="Arial"/>
      <family val="2"/>
    </font>
    <font>
      <sz val="12"/>
      <color rgb="FF000000"/>
      <name val="Calibri"/>
      <family val="2"/>
    </font>
    <font>
      <sz val="14"/>
      <name val="Arial"/>
      <family val="2"/>
    </font>
    <font>
      <b/>
      <sz val="16"/>
      <color theme="1"/>
      <name val="Calibri"/>
      <family val="2"/>
      <scheme val="minor"/>
    </font>
    <font>
      <sz val="16"/>
      <color theme="1"/>
      <name val="Arial"/>
      <family val="2"/>
    </font>
    <font>
      <sz val="18"/>
      <color theme="1"/>
      <name val="Calibri"/>
      <family val="2"/>
      <scheme val="minor"/>
    </font>
    <font>
      <sz val="18"/>
      <name val="Arial"/>
      <family val="2"/>
    </font>
  </fonts>
  <fills count="7">
    <fill>
      <patternFill patternType="none"/>
    </fill>
    <fill>
      <patternFill patternType="gray125"/>
    </fill>
    <fill>
      <patternFill patternType="solid">
        <fgColor theme="2"/>
        <bgColor indexed="64"/>
      </patternFill>
    </fill>
    <fill>
      <patternFill patternType="solid">
        <fgColor indexed="44"/>
        <bgColor indexed="64"/>
      </patternFill>
    </fill>
    <fill>
      <patternFill patternType="solid">
        <fgColor theme="8"/>
        <bgColor indexed="64"/>
      </patternFill>
    </fill>
    <fill>
      <patternFill patternType="solid">
        <fgColor rgb="FFFFFF00"/>
        <bgColor indexed="64"/>
      </patternFill>
    </fill>
    <fill>
      <patternFill patternType="solid">
        <fgColor theme="6"/>
        <bgColor indexed="64"/>
      </patternFill>
    </fill>
  </fills>
  <borders count="14">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s>
  <cellStyleXfs count="4">
    <xf numFmtId="0" fontId="0" fillId="0" borderId="0"/>
    <xf numFmtId="0" fontId="5" fillId="0" borderId="0" applyNumberFormat="0" applyFill="0" applyBorder="0" applyAlignment="0" applyProtection="0">
      <alignment vertical="top"/>
      <protection locked="0"/>
    </xf>
    <xf numFmtId="0" fontId="1" fillId="0" borderId="0"/>
    <xf numFmtId="0" fontId="2" fillId="0" borderId="0"/>
  </cellStyleXfs>
  <cellXfs count="81">
    <xf numFmtId="0" fontId="0" fillId="0" borderId="0" xfId="0"/>
    <xf numFmtId="0" fontId="4" fillId="0" borderId="0" xfId="0" applyFont="1"/>
    <xf numFmtId="9" fontId="0" fillId="0" borderId="0" xfId="0" applyNumberFormat="1"/>
    <xf numFmtId="0" fontId="0" fillId="0" borderId="0" xfId="0" applyAlignment="1">
      <alignment horizontal="right"/>
    </xf>
    <xf numFmtId="1" fontId="0" fillId="0" borderId="0" xfId="0" applyNumberFormat="1"/>
    <xf numFmtId="0" fontId="0" fillId="0" borderId="0" xfId="0" applyBorder="1"/>
    <xf numFmtId="0" fontId="4" fillId="0" borderId="5" xfId="0" applyFont="1" applyBorder="1"/>
    <xf numFmtId="0" fontId="0" fillId="0" borderId="6" xfId="0" applyBorder="1"/>
    <xf numFmtId="0" fontId="4" fillId="0" borderId="6" xfId="0" applyFont="1" applyBorder="1"/>
    <xf numFmtId="0" fontId="0" fillId="0" borderId="7" xfId="0" applyBorder="1"/>
    <xf numFmtId="0" fontId="4" fillId="0" borderId="8" xfId="0" applyFont="1" applyBorder="1"/>
    <xf numFmtId="0" fontId="0" fillId="0" borderId="3" xfId="0" applyBorder="1"/>
    <xf numFmtId="0" fontId="4" fillId="0" borderId="3" xfId="0" applyFont="1" applyBorder="1"/>
    <xf numFmtId="0" fontId="0" fillId="0" borderId="9" xfId="0" applyBorder="1"/>
    <xf numFmtId="0" fontId="4" fillId="0" borderId="10" xfId="0" applyFont="1" applyBorder="1"/>
    <xf numFmtId="0" fontId="4" fillId="0" borderId="11" xfId="0" applyFont="1" applyBorder="1"/>
    <xf numFmtId="0" fontId="0" fillId="0" borderId="12" xfId="0" applyBorder="1"/>
    <xf numFmtId="0" fontId="0" fillId="0" borderId="5" xfId="0" applyBorder="1"/>
    <xf numFmtId="0" fontId="4" fillId="0" borderId="0" xfId="0" applyFont="1" applyFill="1" applyBorder="1"/>
    <xf numFmtId="0" fontId="0" fillId="0" borderId="8" xfId="0" applyBorder="1"/>
    <xf numFmtId="164" fontId="0" fillId="0" borderId="0" xfId="0" applyNumberFormat="1"/>
    <xf numFmtId="14" fontId="0" fillId="0" borderId="11" xfId="0" applyNumberFormat="1" applyBorder="1"/>
    <xf numFmtId="0" fontId="0" fillId="0" borderId="9" xfId="0" applyBorder="1" applyAlignment="1">
      <alignment horizontal="right"/>
    </xf>
    <xf numFmtId="0" fontId="0" fillId="0" borderId="9" xfId="0" applyBorder="1" applyAlignment="1">
      <alignment horizontal="center"/>
    </xf>
    <xf numFmtId="0" fontId="0" fillId="0" borderId="3" xfId="0" applyBorder="1" applyAlignment="1">
      <alignment horizontal="center"/>
    </xf>
    <xf numFmtId="0" fontId="4" fillId="2" borderId="0" xfId="0" applyFont="1" applyFill="1" applyAlignment="1">
      <alignment horizontal="center"/>
    </xf>
    <xf numFmtId="166" fontId="0" fillId="3" borderId="0" xfId="0" applyNumberFormat="1" applyFill="1" applyAlignment="1">
      <alignment wrapText="1"/>
    </xf>
    <xf numFmtId="166" fontId="0" fillId="3" borderId="0" xfId="0" applyNumberFormat="1" applyFill="1" applyAlignment="1">
      <alignment horizontal="center" wrapText="1"/>
    </xf>
    <xf numFmtId="165" fontId="0" fillId="0" borderId="0" xfId="0" applyNumberFormat="1" applyAlignment="1">
      <alignment horizontal="center"/>
    </xf>
    <xf numFmtId="3" fontId="0" fillId="0" borderId="3" xfId="0" applyNumberFormat="1" applyBorder="1"/>
    <xf numFmtId="0" fontId="0" fillId="0" borderId="11" xfId="0" applyBorder="1"/>
    <xf numFmtId="0" fontId="0" fillId="0" borderId="10" xfId="0" applyBorder="1"/>
    <xf numFmtId="167" fontId="0" fillId="0" borderId="0" xfId="0" applyNumberFormat="1"/>
    <xf numFmtId="168" fontId="11" fillId="0" borderId="2" xfId="0" applyNumberFormat="1" applyFont="1" applyBorder="1"/>
    <xf numFmtId="168" fontId="0" fillId="0" borderId="9" xfId="0" applyNumberFormat="1" applyBorder="1" applyAlignment="1">
      <alignment horizontal="right"/>
    </xf>
    <xf numFmtId="0" fontId="11" fillId="0" borderId="1" xfId="0" applyFont="1" applyBorder="1"/>
    <xf numFmtId="0" fontId="0" fillId="0" borderId="0" xfId="0"/>
    <xf numFmtId="0" fontId="4" fillId="0" borderId="3" xfId="0" applyFont="1" applyBorder="1" applyAlignment="1">
      <alignment horizontal="center"/>
    </xf>
    <xf numFmtId="0" fontId="4" fillId="0" borderId="3" xfId="0" applyFont="1" applyFill="1" applyBorder="1"/>
    <xf numFmtId="0" fontId="5" fillId="0" borderId="3" xfId="1" applyBorder="1" applyAlignment="1" applyProtection="1">
      <alignment horizontal="right"/>
    </xf>
    <xf numFmtId="0" fontId="4" fillId="0" borderId="0" xfId="0" applyFont="1" applyAlignment="1">
      <alignment horizontal="right"/>
    </xf>
    <xf numFmtId="0" fontId="4" fillId="0" borderId="0" xfId="0" applyFont="1" applyBorder="1" applyAlignment="1">
      <alignment horizontal="center"/>
    </xf>
    <xf numFmtId="0" fontId="4" fillId="0" borderId="0" xfId="0" applyFont="1" applyFill="1" applyBorder="1" applyAlignment="1">
      <alignment horizontal="center"/>
    </xf>
    <xf numFmtId="0" fontId="0" fillId="0" borderId="0" xfId="0" applyBorder="1" applyAlignment="1">
      <alignment horizontal="center"/>
    </xf>
    <xf numFmtId="0" fontId="10" fillId="0" borderId="0" xfId="0" applyFont="1" applyAlignment="1"/>
    <xf numFmtId="0" fontId="5" fillId="0" borderId="9" xfId="1" applyBorder="1" applyAlignment="1" applyProtection="1"/>
    <xf numFmtId="0" fontId="0" fillId="0" borderId="0" xfId="0" applyAlignment="1">
      <alignment horizontal="center"/>
    </xf>
    <xf numFmtId="0" fontId="9" fillId="0" borderId="9" xfId="0" applyFont="1" applyBorder="1" applyAlignment="1">
      <alignment horizontal="center"/>
    </xf>
    <xf numFmtId="10" fontId="0" fillId="0" borderId="0" xfId="0" applyNumberFormat="1" applyAlignment="1">
      <alignment horizontal="center"/>
    </xf>
    <xf numFmtId="0" fontId="5" fillId="0" borderId="0" xfId="1" applyAlignment="1" applyProtection="1"/>
    <xf numFmtId="0" fontId="0" fillId="0" borderId="3" xfId="0" applyBorder="1"/>
    <xf numFmtId="0" fontId="4" fillId="0" borderId="3" xfId="0" applyFont="1" applyBorder="1"/>
    <xf numFmtId="0" fontId="0" fillId="0" borderId="0" xfId="0"/>
    <xf numFmtId="0" fontId="4" fillId="0" borderId="5" xfId="0" applyFont="1" applyBorder="1"/>
    <xf numFmtId="0" fontId="4" fillId="0" borderId="8" xfId="0" applyFont="1" applyBorder="1"/>
    <xf numFmtId="0" fontId="0" fillId="0" borderId="9" xfId="0" applyBorder="1" applyAlignment="1">
      <alignment horizontal="right"/>
    </xf>
    <xf numFmtId="0" fontId="0" fillId="0" borderId="0" xfId="0" quotePrefix="1" applyAlignment="1">
      <alignment horizontal="center"/>
    </xf>
    <xf numFmtId="0" fontId="9" fillId="0" borderId="0" xfId="0" quotePrefix="1" applyFont="1" applyAlignment="1">
      <alignment horizontal="center"/>
    </xf>
    <xf numFmtId="49" fontId="0" fillId="0" borderId="0" xfId="0" quotePrefix="1" applyNumberFormat="1" applyAlignment="1">
      <alignment horizontal="center"/>
    </xf>
    <xf numFmtId="0" fontId="4" fillId="0" borderId="0" xfId="0" applyFont="1" applyFill="1" applyAlignment="1">
      <alignment horizontal="center"/>
    </xf>
    <xf numFmtId="0" fontId="13" fillId="0" borderId="3" xfId="0" applyFont="1" applyBorder="1"/>
    <xf numFmtId="0" fontId="5" fillId="0" borderId="0" xfId="1" quotePrefix="1" applyAlignment="1" applyProtection="1"/>
    <xf numFmtId="169" fontId="0" fillId="0" borderId="3" xfId="0" applyNumberFormat="1" applyBorder="1"/>
    <xf numFmtId="0" fontId="4" fillId="0" borderId="7" xfId="0" applyFont="1" applyBorder="1"/>
    <xf numFmtId="0" fontId="10" fillId="0" borderId="3" xfId="0" applyFont="1" applyBorder="1"/>
    <xf numFmtId="0" fontId="19" fillId="0" borderId="3" xfId="0" applyFont="1" applyBorder="1" applyAlignment="1">
      <alignment horizontal="center"/>
    </xf>
    <xf numFmtId="0" fontId="19" fillId="0" borderId="3" xfId="0" applyFont="1" applyFill="1" applyBorder="1" applyAlignment="1">
      <alignment horizontal="center"/>
    </xf>
    <xf numFmtId="0" fontId="8" fillId="5" borderId="3" xfId="0" applyFont="1" applyFill="1" applyBorder="1"/>
    <xf numFmtId="14" fontId="21" fillId="4" borderId="3" xfId="0" applyNumberFormat="1" applyFont="1" applyFill="1" applyBorder="1" applyAlignment="1">
      <alignment horizontal="center" vertical="center"/>
    </xf>
    <xf numFmtId="0" fontId="22" fillId="4" borderId="0" xfId="0" applyFont="1" applyFill="1" applyAlignment="1">
      <alignment horizontal="center" vertical="center"/>
    </xf>
    <xf numFmtId="49" fontId="21" fillId="6" borderId="3" xfId="0" applyNumberFormat="1" applyFont="1" applyFill="1" applyBorder="1" applyAlignment="1">
      <alignment horizontal="center" vertical="center"/>
    </xf>
    <xf numFmtId="0" fontId="20" fillId="6" borderId="3" xfId="0" applyFont="1" applyFill="1" applyBorder="1" applyAlignment="1">
      <alignment horizontal="center" vertical="center"/>
    </xf>
    <xf numFmtId="0" fontId="16" fillId="0" borderId="0" xfId="0" applyFont="1" applyAlignment="1">
      <alignment horizontal="left" vertical="top" wrapText="1"/>
    </xf>
    <xf numFmtId="0" fontId="16" fillId="0" borderId="0" xfId="0" applyFont="1" applyAlignment="1">
      <alignment horizontal="left" vertical="top"/>
    </xf>
    <xf numFmtId="0" fontId="8" fillId="0" borderId="0" xfId="0" applyFont="1" applyAlignment="1">
      <alignment horizontal="center"/>
    </xf>
    <xf numFmtId="0" fontId="8" fillId="0" borderId="4" xfId="0" applyFont="1" applyBorder="1" applyAlignment="1">
      <alignment horizontal="center"/>
    </xf>
    <xf numFmtId="0" fontId="10" fillId="0" borderId="0" xfId="0" applyFont="1" applyAlignment="1">
      <alignment horizontal="center"/>
    </xf>
    <xf numFmtId="0" fontId="10" fillId="0" borderId="0" xfId="0" applyFont="1" applyBorder="1" applyAlignment="1">
      <alignment horizontal="center"/>
    </xf>
    <xf numFmtId="0" fontId="10" fillId="0" borderId="4" xfId="0" applyFont="1" applyBorder="1" applyAlignment="1">
      <alignment horizontal="center"/>
    </xf>
    <xf numFmtId="0" fontId="12" fillId="0" borderId="0" xfId="0" applyFont="1" applyAlignment="1">
      <alignment horizontal="center" vertical="center"/>
    </xf>
    <xf numFmtId="0" fontId="12" fillId="0" borderId="13" xfId="0" applyFont="1" applyBorder="1" applyAlignment="1">
      <alignment horizontal="center" vertical="center"/>
    </xf>
  </cellXfs>
  <cellStyles count="4">
    <cellStyle name="Hyperlink" xfId="1" builtinId="8"/>
    <cellStyle name="Normal" xfId="0" builtinId="0"/>
    <cellStyle name="Normal 2" xfId="2" xr:uid="{00000000-0005-0000-0000-000002000000}"/>
    <cellStyle name="Normal 2 2" xfId="3" xr:uid="{00000000-0005-0000-0000-000003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externalLink" Target="externalLinks/externalLink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762000</xdr:colOff>
          <xdr:row>4</xdr:row>
          <xdr:rowOff>50800</xdr:rowOff>
        </xdr:from>
        <xdr:to>
          <xdr:col>2</xdr:col>
          <xdr:colOff>1231900</xdr:colOff>
          <xdr:row>7</xdr:row>
          <xdr:rowOff>25400</xdr:rowOff>
        </xdr:to>
        <xdr:sp macro="" textlink="">
          <xdr:nvSpPr>
            <xdr:cNvPr id="626697" name="Button 9" descr="Click to Recalc" hidden="1">
              <a:extLst>
                <a:ext uri="{63B3BB69-23CF-44E3-9099-C40C66FF867C}">
                  <a14:compatExt spid="_x0000_s626697"/>
                </a:ext>
                <a:ext uri="{FF2B5EF4-FFF2-40B4-BE49-F238E27FC236}">
                  <a16:creationId xmlns:a16="http://schemas.microsoft.com/office/drawing/2014/main" id="{00000000-0008-0000-0100-00000990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200" b="0" i="0" u="none" strike="noStrike" baseline="0">
                  <a:solidFill>
                    <a:srgbClr val="000000"/>
                  </a:solidFill>
                  <a:latin typeface="Calibri"/>
                  <a:cs typeface="Calibri"/>
                </a:rPr>
                <a:t>Click to 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C:/C:/Users/sarahjingli/Desktop/ECO2508%20Risk%20Management/Assignment/a6.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C:/C:/Users/sarahjingli/Desktop/ECO2508%20Risk%20Management/Assignment/a7.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C:/C:/C:/D:/AMFExcel.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C:/Frank/Projects/Evan/group#-p1-ALM-StressModule_LCR.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C:/Volumes/GoogleDrive/My%20Drive/Study/Classes/Risk/Risk%20project/group#-p1-ALM-StressModule-Jes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okup"/>
      <sheetName val="Beta"/>
      <sheetName val="MatDef"/>
      <sheetName val="Frequency"/>
    </sheetNames>
    <sheetDataSet>
      <sheetData sheetId="0" refreshError="1">
        <row r="5">
          <cell r="F5">
            <v>0</v>
          </cell>
          <cell r="G5">
            <v>0.08</v>
          </cell>
        </row>
        <row r="6">
          <cell r="F6">
            <v>10000</v>
          </cell>
          <cell r="G6">
            <v>0.105</v>
          </cell>
        </row>
        <row r="7">
          <cell r="F7">
            <v>20000</v>
          </cell>
          <cell r="G7">
            <v>0.12</v>
          </cell>
        </row>
      </sheetData>
      <sheetData sheetId="1" refreshError="1">
        <row r="5">
          <cell r="B5">
            <v>-0.1326</v>
          </cell>
          <cell r="C5">
            <v>-5.3400000000000003E-2</v>
          </cell>
        </row>
        <row r="6">
          <cell r="B6">
            <v>6.7100000000000007E-2</v>
          </cell>
          <cell r="C6">
            <v>8.6800000000000002E-2</v>
          </cell>
        </row>
        <row r="7">
          <cell r="B7">
            <v>9.3899999999999997E-2</v>
          </cell>
          <cell r="C7">
            <v>1.8200000000000001E-2</v>
          </cell>
        </row>
        <row r="8">
          <cell r="B8">
            <v>-0.13389999999999999</v>
          </cell>
          <cell r="C8">
            <v>-0.08</v>
          </cell>
        </row>
        <row r="9">
          <cell r="B9">
            <v>-9.5100000000000004E-2</v>
          </cell>
          <cell r="C9">
            <v>-6.6600000000000006E-2</v>
          </cell>
        </row>
        <row r="10">
          <cell r="B10">
            <v>-3.8100000000000002E-2</v>
          </cell>
          <cell r="C10">
            <v>-4.5499999999999999E-2</v>
          </cell>
        </row>
        <row r="11">
          <cell r="B11">
            <v>8.8200000000000001E-2</v>
          </cell>
          <cell r="C11">
            <v>9.2499999999999999E-2</v>
          </cell>
        </row>
        <row r="12">
          <cell r="B12">
            <v>0.114</v>
          </cell>
          <cell r="C12">
            <v>3.9300000000000002E-2</v>
          </cell>
        </row>
        <row r="13">
          <cell r="B13">
            <v>6.9400000000000003E-2</v>
          </cell>
          <cell r="C13">
            <v>4.2200000000000001E-2</v>
          </cell>
        </row>
        <row r="14">
          <cell r="B14">
            <v>5.2699999999999997E-2</v>
          </cell>
          <cell r="C14">
            <v>3.6200000000000003E-2</v>
          </cell>
        </row>
        <row r="15">
          <cell r="B15">
            <v>-0.1298</v>
          </cell>
          <cell r="C15">
            <v>-5.9999999999999995E-4</v>
          </cell>
        </row>
        <row r="16">
          <cell r="B16">
            <v>3.95E-2</v>
          </cell>
          <cell r="C16">
            <v>2.23E-2</v>
          </cell>
        </row>
        <row r="17">
          <cell r="B17">
            <v>-3.5799999999999998E-2</v>
          </cell>
          <cell r="C17">
            <v>7.1000000000000004E-3</v>
          </cell>
        </row>
        <row r="18">
          <cell r="B18">
            <v>-1.7899999999999999E-2</v>
          </cell>
          <cell r="C18">
            <v>-1.4999999999999999E-2</v>
          </cell>
        </row>
        <row r="19">
          <cell r="B19">
            <v>0.12509999999999999</v>
          </cell>
          <cell r="C19">
            <v>9.1999999999999998E-3</v>
          </cell>
        </row>
        <row r="20">
          <cell r="B20">
            <v>4.5699999999999998E-2</v>
          </cell>
          <cell r="C20">
            <v>1.9199999999999998E-2</v>
          </cell>
        </row>
        <row r="21">
          <cell r="B21">
            <v>3.9100000000000003E-2</v>
          </cell>
          <cell r="C21">
            <v>1.01E-2</v>
          </cell>
        </row>
        <row r="22">
          <cell r="B22">
            <v>0.18890000000000001</v>
          </cell>
          <cell r="C22">
            <v>5.8099999999999999E-2</v>
          </cell>
        </row>
        <row r="23">
          <cell r="B23">
            <v>-0.1318</v>
          </cell>
          <cell r="C23">
            <v>-2.1499999999999998E-2</v>
          </cell>
        </row>
        <row r="24">
          <cell r="B24">
            <v>9.06E-2</v>
          </cell>
          <cell r="C24">
            <v>3.6900000000000002E-2</v>
          </cell>
        </row>
        <row r="25">
          <cell r="B25">
            <v>-4.8800000000000003E-2</v>
          </cell>
          <cell r="C25">
            <v>-6.8999999999999999E-3</v>
          </cell>
        </row>
        <row r="26">
          <cell r="B26">
            <v>0.11219999999999999</v>
          </cell>
          <cell r="C26">
            <v>7.6600000000000001E-2</v>
          </cell>
        </row>
        <row r="27">
          <cell r="B27">
            <v>-1.8700000000000001E-2</v>
          </cell>
          <cell r="C27">
            <v>3.5799999999999998E-2</v>
          </cell>
        </row>
        <row r="28">
          <cell r="B28">
            <v>2.3E-2</v>
          </cell>
          <cell r="C28">
            <v>-4.2599999999999999E-2</v>
          </cell>
        </row>
        <row r="29">
          <cell r="B29">
            <v>-0.15809999999999999</v>
          </cell>
          <cell r="C29">
            <v>-7.1499999999999994E-2</v>
          </cell>
        </row>
        <row r="30">
          <cell r="B30">
            <v>4.8800000000000003E-2</v>
          </cell>
          <cell r="C30">
            <v>1.06E-2</v>
          </cell>
        </row>
        <row r="31">
          <cell r="B31">
            <v>-2.8400000000000002E-2</v>
          </cell>
          <cell r="C31">
            <v>-5.2600000000000001E-2</v>
          </cell>
        </row>
        <row r="32">
          <cell r="B32">
            <v>-8.4900000000000003E-2</v>
          </cell>
          <cell r="C32">
            <v>-2.6499999999999999E-2</v>
          </cell>
        </row>
        <row r="33">
          <cell r="B33">
            <v>0.11799999999999999</v>
          </cell>
          <cell r="C33">
            <v>5.3800000000000001E-2</v>
          </cell>
        </row>
        <row r="34">
          <cell r="B34">
            <v>0.1231</v>
          </cell>
          <cell r="C34">
            <v>4.9700000000000001E-2</v>
          </cell>
        </row>
        <row r="35">
          <cell r="B35">
            <v>-6.4100000000000004E-2</v>
          </cell>
          <cell r="C35">
            <v>-7.5700000000000003E-2</v>
          </cell>
        </row>
        <row r="36">
          <cell r="B36">
            <v>6.3799999999999996E-2</v>
          </cell>
          <cell r="C36">
            <v>1.4999999999999999E-2</v>
          </cell>
        </row>
        <row r="37">
          <cell r="B37">
            <v>-4.87E-2</v>
          </cell>
          <cell r="C37">
            <v>-7.0000000000000001E-3</v>
          </cell>
        </row>
        <row r="38">
          <cell r="B38">
            <v>4.0899999999999999E-2</v>
          </cell>
          <cell r="C38">
            <v>-6.1999999999999998E-3</v>
          </cell>
        </row>
        <row r="39">
          <cell r="B39">
            <v>-0.12609999999999999</v>
          </cell>
          <cell r="C39">
            <v>-2.92E-2</v>
          </cell>
        </row>
        <row r="40">
          <cell r="B40">
            <v>-2.0000000000000001E-4</v>
          </cell>
          <cell r="C40">
            <v>2.3E-3</v>
          </cell>
        </row>
        <row r="41">
          <cell r="B41">
            <v>4.41E-2</v>
          </cell>
          <cell r="C41">
            <v>3.2500000000000001E-2</v>
          </cell>
        </row>
        <row r="42">
          <cell r="B42">
            <v>-2.5999999999999999E-2</v>
          </cell>
          <cell r="C42">
            <v>2.3699999999999999E-2</v>
          </cell>
        </row>
        <row r="43">
          <cell r="B43">
            <v>5.74E-2</v>
          </cell>
          <cell r="C43">
            <v>3.1800000000000002E-2</v>
          </cell>
        </row>
        <row r="44">
          <cell r="B44">
            <v>0.1157</v>
          </cell>
          <cell r="C44">
            <v>-7.4999999999999997E-3</v>
          </cell>
        </row>
        <row r="45">
          <cell r="B45">
            <v>1.9900000000000001E-2</v>
          </cell>
          <cell r="C45">
            <v>4.5600000000000002E-2</v>
          </cell>
        </row>
        <row r="46">
          <cell r="B46">
            <v>9.6100000000000005E-2</v>
          </cell>
          <cell r="C46">
            <v>7.3000000000000001E-3</v>
          </cell>
        </row>
        <row r="47">
          <cell r="B47">
            <v>-3.7000000000000002E-3</v>
          </cell>
          <cell r="C47">
            <v>5.8999999999999999E-3</v>
          </cell>
        </row>
        <row r="48">
          <cell r="B48">
            <v>-2.2700000000000001E-2</v>
          </cell>
          <cell r="C48">
            <v>-2.0999999999999999E-3</v>
          </cell>
        </row>
        <row r="49">
          <cell r="B49">
            <v>-0.11509999999999999</v>
          </cell>
          <cell r="C49">
            <v>2.8899999999999999E-2</v>
          </cell>
        </row>
        <row r="50">
          <cell r="B50">
            <v>-2.0500000000000001E-2</v>
          </cell>
          <cell r="C50">
            <v>6.0000000000000001E-3</v>
          </cell>
        </row>
        <row r="51">
          <cell r="B51">
            <v>2.5000000000000001E-2</v>
          </cell>
          <cell r="C51">
            <v>1.9400000000000001E-2</v>
          </cell>
        </row>
        <row r="52">
          <cell r="B52">
            <v>-3.0800000000000001E-2</v>
          </cell>
          <cell r="C52">
            <v>-2.5999999999999999E-3</v>
          </cell>
        </row>
        <row r="53">
          <cell r="B53">
            <v>4.1700000000000001E-2</v>
          </cell>
          <cell r="C53">
            <v>-2.9999999999999997E-4</v>
          </cell>
        </row>
        <row r="54">
          <cell r="B54">
            <v>8.6099999999999996E-2</v>
          </cell>
          <cell r="C54">
            <v>3.6200000000000003E-2</v>
          </cell>
        </row>
        <row r="55">
          <cell r="B55">
            <v>-4.3499999999999997E-2</v>
          </cell>
          <cell r="C55">
            <v>-1.7000000000000001E-2</v>
          </cell>
        </row>
        <row r="56">
          <cell r="B56">
            <v>-6.9699999999999998E-2</v>
          </cell>
          <cell r="C56">
            <v>-1.7299999999999999E-2</v>
          </cell>
        </row>
        <row r="57">
          <cell r="B57">
            <v>-4.7600000000000003E-2</v>
          </cell>
          <cell r="C57">
            <v>-1.2800000000000001E-2</v>
          </cell>
        </row>
        <row r="58">
          <cell r="B58">
            <v>5.0599999999999999E-2</v>
          </cell>
          <cell r="C58">
            <v>4.1599999999999998E-2</v>
          </cell>
        </row>
        <row r="59">
          <cell r="B59">
            <v>-9.5899999999999999E-2</v>
          </cell>
          <cell r="C59">
            <v>1.34E-2</v>
          </cell>
        </row>
        <row r="60">
          <cell r="B60">
            <v>6.5000000000000002E-2</v>
          </cell>
          <cell r="C60">
            <v>4.3E-3</v>
          </cell>
        </row>
        <row r="61">
          <cell r="B61">
            <v>7.5999999999999998E-2</v>
          </cell>
          <cell r="C61">
            <v>1.23E-2</v>
          </cell>
        </row>
        <row r="62">
          <cell r="B62">
            <v>-4.9099999999999998E-2</v>
          </cell>
          <cell r="C62">
            <v>1.2200000000000001E-2</v>
          </cell>
        </row>
        <row r="63">
          <cell r="B63">
            <v>8.6499999999999994E-2</v>
          </cell>
          <cell r="C63">
            <v>3.4200000000000001E-2</v>
          </cell>
        </row>
        <row r="64">
          <cell r="B64">
            <v>7.1900000000000006E-2</v>
          </cell>
          <cell r="C64">
            <v>7.4999999999999997E-3</v>
          </cell>
        </row>
      </sheetData>
      <sheetData sheetId="2" refreshError="1">
        <row r="17">
          <cell r="I17">
            <v>-0.17547568710359404</v>
          </cell>
          <cell r="J17">
            <v>-1.4799154334038065E-2</v>
          </cell>
          <cell r="K17">
            <v>7.1881606765327732E-2</v>
          </cell>
        </row>
        <row r="18">
          <cell r="I18">
            <v>-6.4129668780831553E-2</v>
          </cell>
          <cell r="J18">
            <v>7.8928823114869609E-2</v>
          </cell>
          <cell r="K18">
            <v>-5.0035236081747696E-2</v>
          </cell>
        </row>
        <row r="19">
          <cell r="I19">
            <v>8.5976039464411541E-2</v>
          </cell>
          <cell r="J19">
            <v>-2.8893587033121906E-2</v>
          </cell>
          <cell r="K19">
            <v>4.5102184637068346E-2</v>
          </cell>
        </row>
        <row r="21">
          <cell r="C21">
            <v>20</v>
          </cell>
        </row>
        <row r="22">
          <cell r="C22">
            <v>-5</v>
          </cell>
        </row>
        <row r="23">
          <cell r="C23">
            <v>0</v>
          </cell>
        </row>
      </sheetData>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Output"/>
      <sheetName val="Data"/>
      <sheetName val="Table1"/>
      <sheetName val="bucketinfo"/>
      <sheetName val="IRCAD"/>
      <sheetName val="IRUSD"/>
      <sheetName val="IRJPY"/>
      <sheetName val="IREUR"/>
      <sheetName val="IRGBP"/>
      <sheetName val="IRHKD"/>
      <sheetName val="IRTWD"/>
      <sheetName val="SpotFX"/>
      <sheetName val="bondmkt"/>
      <sheetName val="Shortlisted Securities"/>
      <sheetName val="BS1"/>
      <sheetName val="BS2"/>
      <sheetName val="BS3"/>
    </sheetNames>
    <sheetDataSet>
      <sheetData sheetId="0">
        <row r="5">
          <cell r="F5">
            <v>40513</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sheetPr>
  <dimension ref="A1:F6"/>
  <sheetViews>
    <sheetView zoomScale="140" zoomScaleNormal="140" workbookViewId="0">
      <selection activeCell="F5" sqref="F5"/>
    </sheetView>
  </sheetViews>
  <sheetFormatPr defaultColWidth="9.1796875" defaultRowHeight="12.5" x14ac:dyDescent="0.25"/>
  <cols>
    <col min="1" max="1" width="9.1796875" style="36"/>
    <col min="2" max="2" width="9.81640625" style="36" customWidth="1"/>
    <col min="3" max="5" width="9.1796875" style="36"/>
    <col min="6" max="6" width="69.453125" style="36" customWidth="1"/>
    <col min="7" max="16384" width="9.1796875" style="36"/>
  </cols>
  <sheetData>
    <row r="1" spans="1:6" ht="13" x14ac:dyDescent="0.3">
      <c r="A1" s="1" t="s">
        <v>704</v>
      </c>
      <c r="B1" s="52"/>
    </row>
    <row r="2" spans="1:6" ht="13" x14ac:dyDescent="0.3">
      <c r="A2" s="1"/>
      <c r="B2" s="49" t="s">
        <v>705</v>
      </c>
    </row>
    <row r="3" spans="1:6" ht="13" thickBot="1" x14ac:dyDescent="0.3">
      <c r="A3" s="52"/>
      <c r="B3" s="49"/>
    </row>
    <row r="4" spans="1:6" ht="15.5" x14ac:dyDescent="0.35">
      <c r="A4" s="1"/>
      <c r="B4" s="52"/>
      <c r="C4" s="1"/>
      <c r="F4" s="35" t="s">
        <v>664</v>
      </c>
    </row>
    <row r="5" spans="1:6" ht="16" thickBot="1" x14ac:dyDescent="0.4">
      <c r="A5" s="52"/>
      <c r="B5" s="61"/>
      <c r="C5" s="61"/>
      <c r="D5" s="61"/>
      <c r="F5" s="33">
        <v>40513</v>
      </c>
    </row>
    <row r="6" spans="1:6" x14ac:dyDescent="0.25">
      <c r="B6" s="49"/>
    </row>
  </sheetData>
  <phoneticPr fontId="3" type="noConversion"/>
  <hyperlinks>
    <hyperlink ref="B2" location="bondmkt!A1" display="bondmkt" xr:uid="{00000000-0004-0000-0000-000001000000}"/>
  </hyperlinks>
  <pageMargins left="0.75" right="0.75" top="1" bottom="1" header="0.5" footer="0.5"/>
  <pageSetup orientation="portrait" r:id="rId1"/>
  <headerFooter alignWithMargins="0">
    <oddFooter>&amp;L&amp;1#&amp;"Calibri"&amp;10&amp;K000000Internal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FCC7D5-A032-43B2-8036-F6C97E6D41A9}">
  <sheetPr codeName="Sheet10"/>
  <dimension ref="A1:F18"/>
  <sheetViews>
    <sheetView tabSelected="1" zoomScaleNormal="100" workbookViewId="0">
      <selection activeCell="F3" sqref="F3"/>
    </sheetView>
  </sheetViews>
  <sheetFormatPr defaultColWidth="11.453125" defaultRowHeight="12.5" x14ac:dyDescent="0.25"/>
  <cols>
    <col min="1" max="1" width="19.36328125" style="52" bestFit="1" customWidth="1"/>
    <col min="2" max="2" width="25.1796875" style="52" customWidth="1"/>
    <col min="3" max="3" width="19.453125" style="52" customWidth="1"/>
    <col min="4" max="4" width="15.453125" style="52" customWidth="1"/>
    <col min="5" max="5" width="16" style="52" customWidth="1"/>
    <col min="6" max="6" width="31.81640625" style="52" bestFit="1" customWidth="1"/>
    <col min="7" max="7" width="14.36328125" style="52" customWidth="1"/>
    <col min="8" max="16384" width="11.453125" style="52"/>
  </cols>
  <sheetData>
    <row r="1" spans="1:6" ht="90" customHeight="1" x14ac:dyDescent="0.25">
      <c r="A1" s="72" t="s">
        <v>727</v>
      </c>
      <c r="B1" s="73"/>
      <c r="C1" s="73"/>
      <c r="D1" s="73"/>
      <c r="E1" s="73"/>
      <c r="F1" s="73"/>
    </row>
    <row r="2" spans="1:6" ht="21" x14ac:dyDescent="0.5">
      <c r="A2" s="64" t="s">
        <v>726</v>
      </c>
      <c r="B2" s="65" t="s">
        <v>718</v>
      </c>
      <c r="C2" s="65" t="s">
        <v>719</v>
      </c>
      <c r="D2" s="65" t="s">
        <v>720</v>
      </c>
      <c r="E2" s="65" t="s">
        <v>721</v>
      </c>
      <c r="F2" s="66" t="s">
        <v>724</v>
      </c>
    </row>
    <row r="3" spans="1:6" ht="23.5" x14ac:dyDescent="0.4">
      <c r="A3" s="67">
        <v>-1.5828679771738694</v>
      </c>
      <c r="B3" s="68">
        <v>40513</v>
      </c>
      <c r="C3" s="70" t="s">
        <v>728</v>
      </c>
      <c r="D3" s="69" t="s">
        <v>722</v>
      </c>
      <c r="E3" s="69" t="s">
        <v>723</v>
      </c>
      <c r="F3" s="71" t="s">
        <v>725</v>
      </c>
    </row>
    <row r="7" spans="1:6" x14ac:dyDescent="0.25">
      <c r="E7" s="49"/>
    </row>
    <row r="15" spans="1:6" x14ac:dyDescent="0.25">
      <c r="A15"/>
      <c r="B15"/>
      <c r="C15"/>
      <c r="D15"/>
    </row>
    <row r="16" spans="1:6" x14ac:dyDescent="0.25">
      <c r="A16"/>
      <c r="B16"/>
      <c r="C16"/>
      <c r="D16"/>
    </row>
    <row r="17" spans="1:4" x14ac:dyDescent="0.25">
      <c r="A17"/>
      <c r="B17"/>
      <c r="C17"/>
      <c r="D17"/>
    </row>
    <row r="18" spans="1:4" x14ac:dyDescent="0.25">
      <c r="A18"/>
      <c r="B18"/>
      <c r="C18"/>
      <c r="D18"/>
    </row>
  </sheetData>
  <mergeCells count="1">
    <mergeCell ref="A1:F1"/>
  </mergeCells>
  <phoneticPr fontId="3" type="noConversion"/>
  <dataValidations count="2">
    <dataValidation type="list" allowBlank="1" showInputMessage="1" showErrorMessage="1" sqref="C3" xr:uid="{5AF307FB-AFA7-4C0E-A905-95B508CAF411}">
      <formula1>"BS1, BS2,BS3"</formula1>
    </dataValidation>
    <dataValidation type="list" allowBlank="1" showInputMessage="1" showErrorMessage="1" sqref="F3" xr:uid="{05E9AFCC-3E7E-5B47-B5A8-7790A8D2F4EA}">
      <formula1>"Base,Parallel Up,Parallel Down,Steepener Shock,Flatterner Shock,Short Rates Shock Up,Short Rates Shock Down"</formula1>
    </dataValidation>
  </dataValidations>
  <pageMargins left="0.7" right="0.7" top="0.75" bottom="0.75" header="0.3" footer="0.3"/>
  <pageSetup orientation="portrait" r:id="rId1"/>
  <headerFooter>
    <oddFooter>&amp;L&amp;1#&amp;"Calibri"&amp;10&amp;K000000Internal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26697" r:id="rId4" name="Button 9">
              <controlPr defaultSize="0" print="0" autoFill="0" autoPict="0" macro="[0]!DurGap" altText="Click to Recalc">
                <anchor moveWithCells="1" sizeWithCells="1">
                  <from>
                    <xdr:col>1</xdr:col>
                    <xdr:colOff>762000</xdr:colOff>
                    <xdr:row>4</xdr:row>
                    <xdr:rowOff>50800</xdr:rowOff>
                  </from>
                  <to>
                    <xdr:col>2</xdr:col>
                    <xdr:colOff>1231900</xdr:colOff>
                    <xdr:row>7</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1"/>
  <dimension ref="A1:H31"/>
  <sheetViews>
    <sheetView topLeftCell="A4" workbookViewId="0">
      <selection activeCell="A9" sqref="A9"/>
    </sheetView>
  </sheetViews>
  <sheetFormatPr defaultColWidth="8.81640625" defaultRowHeight="12.5" x14ac:dyDescent="0.25"/>
  <cols>
    <col min="1" max="1" width="9.6328125" bestFit="1" customWidth="1"/>
    <col min="2" max="2" width="12.81640625" bestFit="1" customWidth="1"/>
    <col min="3" max="3" width="16.36328125" bestFit="1" customWidth="1"/>
    <col min="4" max="4" width="15.1796875" customWidth="1"/>
    <col min="5" max="5" width="15.453125" bestFit="1" customWidth="1"/>
    <col min="6" max="6" width="18.81640625" customWidth="1"/>
    <col min="7" max="7" width="19.81640625" bestFit="1" customWidth="1"/>
    <col min="8" max="8" width="22.36328125" bestFit="1" customWidth="1"/>
  </cols>
  <sheetData>
    <row r="1" spans="1:8" x14ac:dyDescent="0.25">
      <c r="A1" s="74" t="s">
        <v>12</v>
      </c>
      <c r="B1" s="74"/>
      <c r="C1" s="74"/>
      <c r="D1" s="74"/>
    </row>
    <row r="2" spans="1:8" ht="13" thickBot="1" x14ac:dyDescent="0.3">
      <c r="A2" s="75"/>
      <c r="B2" s="75"/>
      <c r="C2" s="75"/>
      <c r="D2" s="75"/>
    </row>
    <row r="3" spans="1:8" ht="13" x14ac:dyDescent="0.3">
      <c r="A3" s="6" t="s">
        <v>1</v>
      </c>
      <c r="B3" s="7" t="s">
        <v>2</v>
      </c>
      <c r="C3" s="8" t="s">
        <v>3</v>
      </c>
      <c r="D3" s="9" t="s">
        <v>4</v>
      </c>
    </row>
    <row r="4" spans="1:8" ht="13" x14ac:dyDescent="0.3">
      <c r="A4" s="10" t="s">
        <v>5</v>
      </c>
      <c r="B4" s="11" t="s">
        <v>707</v>
      </c>
      <c r="C4" s="12" t="s">
        <v>6</v>
      </c>
      <c r="D4" s="13" t="s">
        <v>706</v>
      </c>
    </row>
    <row r="5" spans="1:8" ht="13" x14ac:dyDescent="0.3">
      <c r="A5" s="10" t="s">
        <v>7</v>
      </c>
      <c r="B5" s="11" t="s">
        <v>8</v>
      </c>
      <c r="C5" s="12" t="s">
        <v>9</v>
      </c>
      <c r="D5" s="13"/>
    </row>
    <row r="6" spans="1:8" ht="13.5" thickBot="1" x14ac:dyDescent="0.35">
      <c r="A6" s="14" t="s">
        <v>10</v>
      </c>
      <c r="B6" s="34">
        <f>SessionDate</f>
        <v>40513</v>
      </c>
      <c r="C6" s="15"/>
      <c r="D6" s="16"/>
    </row>
    <row r="7" spans="1:8" ht="13" x14ac:dyDescent="0.3">
      <c r="A7" s="1"/>
    </row>
    <row r="8" spans="1:8" ht="13" thickBot="1" x14ac:dyDescent="0.3">
      <c r="E8" s="52"/>
      <c r="F8" s="52"/>
      <c r="G8" s="52"/>
    </row>
    <row r="9" spans="1:8" ht="13" x14ac:dyDescent="0.3">
      <c r="A9" s="17" t="s">
        <v>11</v>
      </c>
      <c r="B9" s="63" t="s">
        <v>725</v>
      </c>
      <c r="C9" s="18" t="s">
        <v>716</v>
      </c>
      <c r="D9" s="1" t="s">
        <v>717</v>
      </c>
      <c r="E9" s="1" t="s">
        <v>712</v>
      </c>
      <c r="F9" s="1" t="s">
        <v>713</v>
      </c>
      <c r="G9" s="1" t="s">
        <v>714</v>
      </c>
      <c r="H9" s="1" t="s">
        <v>715</v>
      </c>
    </row>
    <row r="10" spans="1:8" x14ac:dyDescent="0.25">
      <c r="A10" s="50">
        <v>1</v>
      </c>
      <c r="B10" s="52">
        <v>0.01</v>
      </c>
      <c r="C10" s="20">
        <v>0.03</v>
      </c>
      <c r="D10">
        <v>1E-4</v>
      </c>
      <c r="E10" s="52">
        <v>1E-4</v>
      </c>
      <c r="F10" s="52">
        <v>3.397740499917129E-2</v>
      </c>
      <c r="G10" s="52">
        <v>3.9979459090155718E-2</v>
      </c>
      <c r="H10">
        <v>1E-4</v>
      </c>
    </row>
    <row r="11" spans="1:8" x14ac:dyDescent="0.25">
      <c r="A11" s="50">
        <v>7</v>
      </c>
      <c r="B11" s="52">
        <v>0.01</v>
      </c>
      <c r="C11" s="20">
        <v>0.03</v>
      </c>
      <c r="D11">
        <v>1E-4</v>
      </c>
      <c r="E11" s="52">
        <v>1E-4</v>
      </c>
      <c r="F11" s="52">
        <v>3.3842159509018581E-2</v>
      </c>
      <c r="G11" s="52">
        <v>3.9856508644562347E-2</v>
      </c>
      <c r="H11">
        <v>1E-4</v>
      </c>
    </row>
    <row r="12" spans="1:8" x14ac:dyDescent="0.25">
      <c r="A12" s="50">
        <v>30</v>
      </c>
      <c r="B12" s="52">
        <v>1.0500000000000001E-2</v>
      </c>
      <c r="C12" s="20">
        <v>3.0499999999999999E-2</v>
      </c>
      <c r="D12">
        <v>1E-4</v>
      </c>
      <c r="E12" s="52">
        <v>1E-4</v>
      </c>
      <c r="F12" s="52">
        <v>3.3828836933770957E-2</v>
      </c>
      <c r="G12" s="52">
        <v>3.9889851757973598E-2</v>
      </c>
      <c r="H12">
        <v>1E-4</v>
      </c>
    </row>
    <row r="13" spans="1:8" x14ac:dyDescent="0.25">
      <c r="A13" s="50">
        <v>91</v>
      </c>
      <c r="B13" s="52">
        <v>1.0200000000000001E-2</v>
      </c>
      <c r="C13" s="20">
        <v>3.0200000000000001E-2</v>
      </c>
      <c r="D13">
        <v>1E-4</v>
      </c>
      <c r="E13" s="52">
        <v>1E-4</v>
      </c>
      <c r="F13" s="52">
        <v>3.2205939854589215E-2</v>
      </c>
      <c r="G13" s="52">
        <v>3.8387218049626554E-2</v>
      </c>
      <c r="H13">
        <v>1E-4</v>
      </c>
    </row>
    <row r="14" spans="1:8" x14ac:dyDescent="0.25">
      <c r="A14" s="50">
        <v>182</v>
      </c>
      <c r="B14" s="52">
        <v>1.1039999999999999E-2</v>
      </c>
      <c r="C14" s="20">
        <v>3.1039999999999998E-2</v>
      </c>
      <c r="D14">
        <v>1E-4</v>
      </c>
      <c r="E14" s="52">
        <v>1E-4</v>
      </c>
      <c r="F14" s="52">
        <v>3.1172372917163751E-2</v>
      </c>
      <c r="G14" s="52">
        <v>3.7523975379239773E-2</v>
      </c>
      <c r="H14">
        <v>1E-4</v>
      </c>
    </row>
    <row r="15" spans="1:8" x14ac:dyDescent="0.25">
      <c r="A15" s="50">
        <v>365</v>
      </c>
      <c r="B15" s="52">
        <v>1.319E-2</v>
      </c>
      <c r="C15" s="20">
        <v>3.3189999999999997E-2</v>
      </c>
      <c r="D15">
        <v>1E-4</v>
      </c>
      <c r="E15" s="52">
        <v>9.8957415864363817E-4</v>
      </c>
      <c r="F15" s="52">
        <v>2.9890425841356365E-2</v>
      </c>
      <c r="G15" s="52">
        <v>3.6554023492142151E-2</v>
      </c>
      <c r="H15">
        <v>1E-4</v>
      </c>
    </row>
    <row r="16" spans="1:8" x14ac:dyDescent="0.25">
      <c r="A16" s="50">
        <v>730</v>
      </c>
      <c r="B16" s="52">
        <v>1.413E-2</v>
      </c>
      <c r="C16" s="20">
        <v>3.4130000000000001E-2</v>
      </c>
      <c r="D16">
        <v>1E-4</v>
      </c>
      <c r="E16" s="52">
        <v>7.6144882294830966E-3</v>
      </c>
      <c r="F16" s="52">
        <v>2.5145511770516903E-2</v>
      </c>
      <c r="G16" s="52">
        <v>3.2325919791378999E-2</v>
      </c>
      <c r="H16">
        <v>1E-4</v>
      </c>
    </row>
    <row r="17" spans="1:8" x14ac:dyDescent="0.25">
      <c r="A17" s="50">
        <v>1095</v>
      </c>
      <c r="B17" s="52">
        <v>1.6109999999999999E-2</v>
      </c>
      <c r="C17" s="20">
        <v>3.6110000000000003E-2</v>
      </c>
      <c r="D17">
        <v>1E-4</v>
      </c>
      <c r="E17" s="52">
        <v>1.4021903759546515E-2</v>
      </c>
      <c r="F17" s="52">
        <v>2.2698096240453484E-2</v>
      </c>
      <c r="G17" s="52">
        <v>3.0280996582230442E-2</v>
      </c>
      <c r="H17">
        <v>1.9390034177695584E-3</v>
      </c>
    </row>
    <row r="18" spans="1:8" x14ac:dyDescent="0.25">
      <c r="A18" s="29">
        <v>1460</v>
      </c>
      <c r="B18" s="52">
        <v>1.804E-2</v>
      </c>
      <c r="C18" s="20">
        <v>3.8040000000000004E-2</v>
      </c>
      <c r="D18">
        <v>1E-4</v>
      </c>
      <c r="E18" s="52">
        <v>1.9399978441342402E-2</v>
      </c>
      <c r="F18" s="52">
        <v>2.11800215586576E-2</v>
      </c>
      <c r="G18" s="52">
        <v>2.907638323514327E-2</v>
      </c>
      <c r="H18">
        <v>7.0036167648567307E-3</v>
      </c>
    </row>
    <row r="19" spans="1:8" x14ac:dyDescent="0.25">
      <c r="A19" s="29">
        <v>1825</v>
      </c>
      <c r="B19" s="52">
        <v>2.01E-2</v>
      </c>
      <c r="C19" s="20">
        <v>4.0099999999999997E-2</v>
      </c>
      <c r="D19">
        <v>9.9999999999999395E-5</v>
      </c>
      <c r="E19" s="52">
        <v>2.4145341703613727E-2</v>
      </c>
      <c r="F19" s="52">
        <v>2.0554658296386273E-2</v>
      </c>
      <c r="G19" s="52">
        <v>2.8695143905805701E-2</v>
      </c>
      <c r="H19">
        <v>1.1504856094194297E-2</v>
      </c>
    </row>
    <row r="20" spans="1:8" x14ac:dyDescent="0.25">
      <c r="A20" s="29">
        <v>2190</v>
      </c>
      <c r="B20" s="52">
        <v>2.2120000000000001E-2</v>
      </c>
      <c r="C20" s="20">
        <v>4.2120000000000005E-2</v>
      </c>
      <c r="D20">
        <v>2.1200000000000004E-3</v>
      </c>
      <c r="E20" s="52">
        <v>2.8256704715101819E-2</v>
      </c>
      <c r="F20" s="52">
        <v>2.0483295284898183E-2</v>
      </c>
      <c r="G20" s="52">
        <v>2.8813904804452894E-2</v>
      </c>
      <c r="H20">
        <v>1.5426095195547107E-2</v>
      </c>
    </row>
    <row r="21" spans="1:8" x14ac:dyDescent="0.25">
      <c r="A21" s="50">
        <v>2555</v>
      </c>
      <c r="B21" s="52">
        <v>2.4049999999999998E-2</v>
      </c>
      <c r="C21">
        <v>4.4049999999999999E-2</v>
      </c>
      <c r="D21">
        <v>4.049999999999998E-3</v>
      </c>
      <c r="E21" s="52">
        <v>3.1815459866135307E-2</v>
      </c>
      <c r="F21" s="52">
        <v>2.0784540133864691E-2</v>
      </c>
      <c r="G21" s="52">
        <v>2.9263218303513354E-2</v>
      </c>
      <c r="H21">
        <v>1.8836781696486643E-2</v>
      </c>
    </row>
    <row r="22" spans="1:8" x14ac:dyDescent="0.25">
      <c r="A22" s="50">
        <v>2920</v>
      </c>
      <c r="B22" s="52">
        <v>2.6009999999999998E-2</v>
      </c>
      <c r="C22">
        <v>4.6009999999999995E-2</v>
      </c>
      <c r="D22">
        <v>6.009999999999998E-3</v>
      </c>
      <c r="E22" s="52">
        <v>3.5043935653191777E-2</v>
      </c>
      <c r="F22" s="52">
        <v>2.1476064346808217E-2</v>
      </c>
      <c r="G22" s="52">
        <v>3.007005849709838E-2</v>
      </c>
      <c r="H22">
        <v>2.1949941502901617E-2</v>
      </c>
    </row>
    <row r="23" spans="1:8" x14ac:dyDescent="0.25">
      <c r="A23" s="50">
        <v>3285</v>
      </c>
      <c r="B23" s="52">
        <v>2.7609999999999999E-2</v>
      </c>
      <c r="C23">
        <v>4.761E-2</v>
      </c>
      <c r="D23">
        <v>7.6099999999999987E-3</v>
      </c>
      <c r="E23" s="52">
        <v>3.7631825589458476E-2</v>
      </c>
      <c r="F23" s="52">
        <v>2.2088174410541523E-2</v>
      </c>
      <c r="G23" s="52">
        <v>3.077197673685593E-2</v>
      </c>
      <c r="H23">
        <v>2.4448023263144068E-2</v>
      </c>
    </row>
    <row r="24" spans="1:8" x14ac:dyDescent="0.25">
      <c r="A24" s="50">
        <v>3650</v>
      </c>
      <c r="B24" s="52">
        <v>2.8639999999999999E-2</v>
      </c>
      <c r="C24">
        <v>4.8640000000000003E-2</v>
      </c>
      <c r="D24">
        <v>8.6399999999999984E-3</v>
      </c>
      <c r="E24" s="52">
        <v>3.9431195045411337E-2</v>
      </c>
      <c r="F24" s="52">
        <v>2.2348804954588658E-2</v>
      </c>
      <c r="G24" s="52">
        <v>3.1102549958716964E-2</v>
      </c>
      <c r="H24">
        <v>2.6177450041283034E-2</v>
      </c>
    </row>
    <row r="25" spans="1:8" x14ac:dyDescent="0.25">
      <c r="A25" s="50">
        <v>5475</v>
      </c>
      <c r="B25" s="52">
        <v>3.2730000000000002E-2</v>
      </c>
      <c r="C25">
        <v>5.2729999999999999E-2</v>
      </c>
      <c r="D25">
        <v>1.2730000000000002E-2</v>
      </c>
      <c r="E25" s="52">
        <v>4.5453914386751698E-2</v>
      </c>
      <c r="F25" s="52">
        <v>2.4506085613248303E-2</v>
      </c>
      <c r="G25" s="52">
        <v>3.3435532375680276E-2</v>
      </c>
      <c r="H25">
        <v>3.2024467624319729E-2</v>
      </c>
    </row>
    <row r="26" spans="1:8" x14ac:dyDescent="0.25">
      <c r="A26" s="50">
        <v>7300</v>
      </c>
      <c r="B26" s="52">
        <v>3.483E-2</v>
      </c>
      <c r="C26">
        <v>5.4830000000000004E-2</v>
      </c>
      <c r="D26">
        <v>1.4829999999999999E-2</v>
      </c>
      <c r="E26" s="52">
        <v>4.8107647749030182E-2</v>
      </c>
      <c r="F26" s="52">
        <v>2.6052352250969822E-2</v>
      </c>
      <c r="G26" s="52">
        <v>3.5032138409972567E-2</v>
      </c>
      <c r="H26">
        <v>3.4627861590027433E-2</v>
      </c>
    </row>
    <row r="27" spans="1:8" x14ac:dyDescent="0.25">
      <c r="A27" s="50">
        <v>10950</v>
      </c>
      <c r="B27" s="52">
        <v>3.4779999999999998E-2</v>
      </c>
      <c r="C27">
        <v>5.4779999999999995E-2</v>
      </c>
      <c r="D27">
        <v>1.4779999999999998E-2</v>
      </c>
      <c r="E27" s="52">
        <v>4.8261748215785119E-2</v>
      </c>
      <c r="F27" s="52">
        <v>2.5798251784214878E-2</v>
      </c>
      <c r="G27" s="52">
        <v>3.4796592531104432E-2</v>
      </c>
      <c r="H27">
        <v>3.4763407468895564E-2</v>
      </c>
    </row>
    <row r="28" spans="1:8" x14ac:dyDescent="0.25">
      <c r="E28" s="52"/>
      <c r="F28" s="52"/>
      <c r="G28" s="52"/>
    </row>
    <row r="29" spans="1:8" x14ac:dyDescent="0.25">
      <c r="E29" s="52"/>
      <c r="F29" s="52"/>
      <c r="G29" s="52"/>
    </row>
    <row r="30" spans="1:8" x14ac:dyDescent="0.25">
      <c r="E30" s="52"/>
      <c r="F30" s="52"/>
      <c r="G30" s="52"/>
    </row>
    <row r="31" spans="1:8" x14ac:dyDescent="0.25">
      <c r="E31" s="52"/>
      <c r="F31" s="52"/>
      <c r="G31" s="52"/>
    </row>
  </sheetData>
  <mergeCells count="1">
    <mergeCell ref="A1:D2"/>
  </mergeCells>
  <phoneticPr fontId="3" type="noConversion"/>
  <pageMargins left="0.7" right="0.7" top="0.75" bottom="0.75" header="0.3" footer="0.3"/>
  <pageSetup orientation="portrait" r:id="rId1"/>
  <headerFooter>
    <oddFooter>&amp;L&amp;1#&amp;"Calibri"&amp;10&amp;K000000Internal</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H24"/>
  <sheetViews>
    <sheetView workbookViewId="0">
      <selection activeCell="K6" sqref="K6"/>
    </sheetView>
  </sheetViews>
  <sheetFormatPr defaultColWidth="8.81640625" defaultRowHeight="12.5" x14ac:dyDescent="0.25"/>
  <cols>
    <col min="1" max="1" width="9.6328125" bestFit="1" customWidth="1"/>
    <col min="2" max="2" width="10.1796875" bestFit="1" customWidth="1"/>
    <col min="3" max="3" width="16.36328125" bestFit="1" customWidth="1"/>
    <col min="4" max="4" width="15.6328125" customWidth="1"/>
    <col min="5" max="5" width="16.1796875" customWidth="1"/>
    <col min="6" max="6" width="15" customWidth="1"/>
    <col min="7" max="7" width="20" customWidth="1"/>
    <col min="8" max="8" width="21.453125" customWidth="1"/>
  </cols>
  <sheetData>
    <row r="1" spans="1:8" ht="12.75" customHeight="1" x14ac:dyDescent="0.25">
      <c r="A1" s="76" t="s">
        <v>18</v>
      </c>
      <c r="B1" s="76"/>
      <c r="C1" s="76"/>
      <c r="D1" s="76"/>
    </row>
    <row r="2" spans="1:8" ht="13.5" customHeight="1" thickBot="1" x14ac:dyDescent="0.3">
      <c r="A2" s="77"/>
      <c r="B2" s="77"/>
      <c r="C2" s="77"/>
      <c r="D2" s="77"/>
    </row>
    <row r="3" spans="1:8" ht="13.5" customHeight="1" x14ac:dyDescent="0.3">
      <c r="A3" s="53" t="s">
        <v>1</v>
      </c>
      <c r="B3" s="7" t="s">
        <v>16</v>
      </c>
      <c r="C3" s="8" t="s">
        <v>3</v>
      </c>
      <c r="D3" s="9" t="s">
        <v>4</v>
      </c>
    </row>
    <row r="4" spans="1:8" ht="13.5" customHeight="1" x14ac:dyDescent="0.3">
      <c r="A4" s="54" t="s">
        <v>5</v>
      </c>
      <c r="B4" s="50" t="str">
        <f>IRCAD!B4</f>
        <v>eco2508</v>
      </c>
      <c r="C4" s="51" t="s">
        <v>6</v>
      </c>
      <c r="D4" s="13" t="s">
        <v>19</v>
      </c>
    </row>
    <row r="5" spans="1:8" ht="13" x14ac:dyDescent="0.3">
      <c r="A5" s="54" t="s">
        <v>7</v>
      </c>
      <c r="B5" s="50" t="s">
        <v>8</v>
      </c>
      <c r="C5" s="51" t="s">
        <v>9</v>
      </c>
      <c r="D5" s="13"/>
    </row>
    <row r="6" spans="1:8" ht="13.5" thickBot="1" x14ac:dyDescent="0.35">
      <c r="A6" s="14" t="s">
        <v>20</v>
      </c>
      <c r="B6" s="34">
        <f>SessionDate</f>
        <v>40513</v>
      </c>
      <c r="C6" s="15"/>
      <c r="D6" s="16"/>
    </row>
    <row r="8" spans="1:8" ht="13" thickBot="1" x14ac:dyDescent="0.3"/>
    <row r="9" spans="1:8" ht="13" x14ac:dyDescent="0.3">
      <c r="A9" t="s">
        <v>11</v>
      </c>
      <c r="B9" s="63" t="s">
        <v>725</v>
      </c>
      <c r="C9" s="1" t="s">
        <v>716</v>
      </c>
      <c r="D9" s="1" t="s">
        <v>717</v>
      </c>
      <c r="E9" s="1" t="s">
        <v>712</v>
      </c>
      <c r="F9" s="1" t="s">
        <v>713</v>
      </c>
      <c r="G9" s="1" t="s">
        <v>714</v>
      </c>
      <c r="H9" s="1" t="s">
        <v>715</v>
      </c>
    </row>
    <row r="10" spans="1:8" x14ac:dyDescent="0.25">
      <c r="A10">
        <v>1</v>
      </c>
      <c r="B10" s="52">
        <v>3.5000000000000001E-3</v>
      </c>
      <c r="C10">
        <v>2.35E-2</v>
      </c>
      <c r="D10">
        <v>1E-4</v>
      </c>
      <c r="E10">
        <v>1E-4</v>
      </c>
      <c r="F10">
        <v>2.7477404999171291E-2</v>
      </c>
      <c r="G10">
        <v>3.3479459090155719E-2</v>
      </c>
      <c r="H10">
        <v>1E-4</v>
      </c>
    </row>
    <row r="11" spans="1:8" x14ac:dyDescent="0.25">
      <c r="A11">
        <v>7</v>
      </c>
      <c r="B11" s="52">
        <v>2E-3</v>
      </c>
      <c r="C11">
        <v>2.1999999999999999E-2</v>
      </c>
      <c r="D11">
        <v>1E-4</v>
      </c>
      <c r="E11">
        <v>1E-4</v>
      </c>
      <c r="F11">
        <v>2.5842159509018581E-2</v>
      </c>
      <c r="G11">
        <v>3.1856508644562347E-2</v>
      </c>
      <c r="H11">
        <v>1E-4</v>
      </c>
    </row>
    <row r="12" spans="1:8" x14ac:dyDescent="0.25">
      <c r="A12">
        <v>30</v>
      </c>
      <c r="B12" s="52">
        <v>2.2499999999999998E-3</v>
      </c>
      <c r="C12">
        <v>2.2249999999999999E-2</v>
      </c>
      <c r="D12">
        <v>1E-4</v>
      </c>
      <c r="E12">
        <v>1E-4</v>
      </c>
      <c r="F12">
        <v>2.5578836933770954E-2</v>
      </c>
      <c r="G12">
        <v>3.1639851757973597E-2</v>
      </c>
      <c r="H12">
        <v>1E-4</v>
      </c>
    </row>
    <row r="13" spans="1:8" x14ac:dyDescent="0.25">
      <c r="A13">
        <v>91</v>
      </c>
      <c r="B13" s="52">
        <v>1.67E-3</v>
      </c>
      <c r="C13">
        <v>2.1670000000000002E-2</v>
      </c>
      <c r="D13">
        <v>1E-4</v>
      </c>
      <c r="E13">
        <v>1E-4</v>
      </c>
      <c r="F13">
        <v>2.3675939854589215E-2</v>
      </c>
      <c r="G13">
        <v>2.9857218049626558E-2</v>
      </c>
      <c r="H13">
        <v>1E-4</v>
      </c>
    </row>
    <row r="14" spans="1:8" x14ac:dyDescent="0.25">
      <c r="A14">
        <v>182</v>
      </c>
      <c r="B14" s="52">
        <v>2.0300000000000001E-3</v>
      </c>
      <c r="C14">
        <v>2.2030000000000001E-2</v>
      </c>
      <c r="D14">
        <v>1E-4</v>
      </c>
      <c r="E14">
        <v>1E-4</v>
      </c>
      <c r="F14">
        <v>2.2162372917163754E-2</v>
      </c>
      <c r="G14">
        <v>2.8513975379239775E-2</v>
      </c>
      <c r="H14">
        <v>1E-4</v>
      </c>
    </row>
    <row r="15" spans="1:8" x14ac:dyDescent="0.25">
      <c r="A15">
        <v>365</v>
      </c>
      <c r="B15" s="52">
        <v>2.6199999999999999E-3</v>
      </c>
      <c r="C15">
        <v>2.2620000000000001E-2</v>
      </c>
      <c r="D15">
        <v>1E-4</v>
      </c>
      <c r="E15">
        <v>1E-4</v>
      </c>
      <c r="F15">
        <v>1.9320425841356365E-2</v>
      </c>
      <c r="G15">
        <v>2.5984023492142148E-2</v>
      </c>
      <c r="H15">
        <v>1E-4</v>
      </c>
    </row>
    <row r="16" spans="1:8" x14ac:dyDescent="0.25">
      <c r="A16">
        <v>730</v>
      </c>
      <c r="B16" s="52">
        <v>4.3800000000000002E-3</v>
      </c>
      <c r="C16">
        <v>2.4379999999999999E-2</v>
      </c>
      <c r="D16">
        <v>1E-4</v>
      </c>
      <c r="E16">
        <v>1E-4</v>
      </c>
      <c r="F16">
        <v>1.5395511770516904E-2</v>
      </c>
      <c r="G16">
        <v>2.2575919791379004E-2</v>
      </c>
      <c r="H16">
        <v>1E-4</v>
      </c>
    </row>
    <row r="17" spans="1:8" x14ac:dyDescent="0.25">
      <c r="A17">
        <v>1095</v>
      </c>
      <c r="B17" s="52">
        <v>6.5799999999999999E-3</v>
      </c>
      <c r="C17">
        <v>2.6579999999999999E-2</v>
      </c>
      <c r="D17">
        <v>1E-4</v>
      </c>
      <c r="E17">
        <v>4.4919037595465144E-3</v>
      </c>
      <c r="F17">
        <v>1.3168096240453484E-2</v>
      </c>
      <c r="G17">
        <v>2.0750996582230442E-2</v>
      </c>
      <c r="H17">
        <v>1E-4</v>
      </c>
    </row>
    <row r="18" spans="1:8" x14ac:dyDescent="0.25">
      <c r="A18">
        <v>1460</v>
      </c>
      <c r="B18" s="52">
        <v>9.75E-3</v>
      </c>
      <c r="C18">
        <v>2.9749999999999999E-2</v>
      </c>
      <c r="D18">
        <v>1E-4</v>
      </c>
      <c r="E18">
        <v>1.1109978441342403E-2</v>
      </c>
      <c r="F18">
        <v>1.2890021558657597E-2</v>
      </c>
      <c r="G18">
        <v>2.0786383235143271E-2</v>
      </c>
      <c r="H18">
        <v>1E-4</v>
      </c>
    </row>
    <row r="19" spans="1:8" x14ac:dyDescent="0.25">
      <c r="A19">
        <v>1825</v>
      </c>
      <c r="B19" s="52">
        <v>1.295E-2</v>
      </c>
      <c r="C19">
        <v>3.295E-2</v>
      </c>
      <c r="D19">
        <v>1E-4</v>
      </c>
      <c r="E19">
        <v>1.6995341703613727E-2</v>
      </c>
      <c r="F19">
        <v>1.3404658296386273E-2</v>
      </c>
      <c r="G19">
        <v>2.1545143905805704E-2</v>
      </c>
      <c r="H19">
        <v>4.3548560941942972E-3</v>
      </c>
    </row>
    <row r="20" spans="1:8" x14ac:dyDescent="0.25">
      <c r="A20">
        <v>2190</v>
      </c>
      <c r="B20" s="52">
        <v>1.6150000000000001E-2</v>
      </c>
      <c r="C20">
        <v>3.6150000000000002E-2</v>
      </c>
      <c r="D20">
        <v>1E-4</v>
      </c>
      <c r="E20">
        <v>2.2286704715101819E-2</v>
      </c>
      <c r="F20">
        <v>1.4513295284898186E-2</v>
      </c>
      <c r="G20">
        <v>2.2843904804452895E-2</v>
      </c>
      <c r="H20">
        <v>9.4560951955471075E-3</v>
      </c>
    </row>
    <row r="21" spans="1:8" x14ac:dyDescent="0.25">
      <c r="A21">
        <v>2555</v>
      </c>
      <c r="B21" s="52">
        <v>1.9359999999999999E-2</v>
      </c>
      <c r="C21">
        <v>3.9359999999999999E-2</v>
      </c>
      <c r="D21">
        <v>1E-4</v>
      </c>
      <c r="E21">
        <v>2.712545986613531E-2</v>
      </c>
      <c r="F21">
        <v>1.6094540133864691E-2</v>
      </c>
      <c r="G21">
        <v>2.4573218303513354E-2</v>
      </c>
      <c r="H21">
        <v>1.4146781696486643E-2</v>
      </c>
    </row>
    <row r="22" spans="1:8" x14ac:dyDescent="0.25">
      <c r="A22">
        <v>2920</v>
      </c>
      <c r="B22" s="52">
        <v>2.1870000000000001E-2</v>
      </c>
      <c r="C22">
        <v>4.1870000000000004E-2</v>
      </c>
      <c r="D22">
        <v>1.8700000000000001E-3</v>
      </c>
      <c r="E22">
        <v>3.0903935653191782E-2</v>
      </c>
      <c r="F22">
        <v>1.7336064346808219E-2</v>
      </c>
      <c r="G22">
        <v>2.5930058497098382E-2</v>
      </c>
      <c r="H22">
        <v>1.7809941502901619E-2</v>
      </c>
    </row>
    <row r="23" spans="1:8" x14ac:dyDescent="0.25">
      <c r="A23">
        <v>3285</v>
      </c>
      <c r="B23" s="52">
        <v>2.444E-2</v>
      </c>
      <c r="C23">
        <v>4.444E-2</v>
      </c>
      <c r="D23">
        <v>4.4399999999999995E-3</v>
      </c>
      <c r="E23">
        <v>3.4461825589458477E-2</v>
      </c>
      <c r="F23">
        <v>1.8918174410541524E-2</v>
      </c>
      <c r="G23">
        <v>2.7601976736855931E-2</v>
      </c>
      <c r="H23">
        <v>2.1278023263144069E-2</v>
      </c>
    </row>
    <row r="24" spans="1:8" x14ac:dyDescent="0.25">
      <c r="A24">
        <v>3650</v>
      </c>
      <c r="B24" s="52">
        <v>2.683E-2</v>
      </c>
      <c r="C24">
        <v>4.6829999999999997E-2</v>
      </c>
      <c r="D24">
        <v>6.8299999999999993E-3</v>
      </c>
      <c r="E24">
        <v>3.7621195045411338E-2</v>
      </c>
      <c r="F24">
        <v>2.0538804954588659E-2</v>
      </c>
      <c r="G24">
        <v>2.9292549958716965E-2</v>
      </c>
      <c r="H24">
        <v>2.4367450041283035E-2</v>
      </c>
    </row>
  </sheetData>
  <mergeCells count="1">
    <mergeCell ref="A1:D2"/>
  </mergeCells>
  <phoneticPr fontId="3" type="noConversion"/>
  <pageMargins left="0.7" right="0.7" top="0.75" bottom="0.75" header="0.3" footer="0.3"/>
  <pageSetup orientation="portrait" r:id="rId1"/>
  <headerFooter>
    <oddFooter>&amp;L&amp;1#&amp;"Calibri"&amp;10&amp;K000000Internal</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4"/>
  <dimension ref="A1:H27"/>
  <sheetViews>
    <sheetView workbookViewId="0">
      <selection activeCell="B9" sqref="B9"/>
    </sheetView>
  </sheetViews>
  <sheetFormatPr defaultColWidth="9.1796875" defaultRowHeight="12.5" x14ac:dyDescent="0.25"/>
  <cols>
    <col min="1" max="1" width="10.81640625" style="36" bestFit="1" customWidth="1"/>
    <col min="2" max="2" width="12.81640625" style="36" bestFit="1" customWidth="1"/>
    <col min="3" max="3" width="15" style="36" bestFit="1" customWidth="1"/>
    <col min="4" max="4" width="13" style="36" customWidth="1"/>
    <col min="5" max="5" width="16.36328125" style="36" customWidth="1"/>
    <col min="6" max="6" width="17.1796875" style="36" customWidth="1"/>
    <col min="7" max="7" width="23.453125" style="36" customWidth="1"/>
    <col min="8" max="8" width="23.81640625" style="36" customWidth="1"/>
    <col min="9" max="16384" width="9.1796875" style="36"/>
  </cols>
  <sheetData>
    <row r="1" spans="1:8" x14ac:dyDescent="0.25">
      <c r="A1" s="76" t="s">
        <v>676</v>
      </c>
      <c r="B1" s="76"/>
      <c r="C1" s="76"/>
      <c r="D1" s="76"/>
    </row>
    <row r="2" spans="1:8" ht="13" thickBot="1" x14ac:dyDescent="0.3">
      <c r="A2" s="78"/>
      <c r="B2" s="78"/>
      <c r="C2" s="78"/>
      <c r="D2" s="78"/>
    </row>
    <row r="3" spans="1:8" x14ac:dyDescent="0.25">
      <c r="A3" s="17" t="s">
        <v>1</v>
      </c>
      <c r="B3" s="7" t="s">
        <v>676</v>
      </c>
      <c r="C3" s="7" t="s">
        <v>3</v>
      </c>
      <c r="D3" s="9" t="s">
        <v>4</v>
      </c>
    </row>
    <row r="4" spans="1:8" x14ac:dyDescent="0.25">
      <c r="A4" s="19" t="s">
        <v>5</v>
      </c>
      <c r="B4" s="11" t="str">
        <f>IRCAD!B4</f>
        <v>eco2508</v>
      </c>
      <c r="C4" s="11" t="s">
        <v>6</v>
      </c>
      <c r="D4" s="13" t="s">
        <v>19</v>
      </c>
    </row>
    <row r="5" spans="1:8" ht="13" thickBot="1" x14ac:dyDescent="0.3">
      <c r="A5" s="19" t="s">
        <v>7</v>
      </c>
      <c r="B5" s="11" t="s">
        <v>8</v>
      </c>
      <c r="C5" s="30" t="s">
        <v>9</v>
      </c>
      <c r="D5" s="45"/>
    </row>
    <row r="6" spans="1:8" ht="13" thickBot="1" x14ac:dyDescent="0.3">
      <c r="A6" s="31" t="s">
        <v>663</v>
      </c>
      <c r="B6" s="21">
        <f>SessionDate</f>
        <v>40513</v>
      </c>
      <c r="C6" s="30"/>
      <c r="D6" s="16"/>
    </row>
    <row r="7" spans="1:8" x14ac:dyDescent="0.25">
      <c r="A7" s="5"/>
      <c r="B7" s="5"/>
      <c r="C7" s="5"/>
      <c r="D7" s="5"/>
    </row>
    <row r="8" spans="1:8" ht="13" thickBot="1" x14ac:dyDescent="0.3"/>
    <row r="9" spans="1:8" ht="13" x14ac:dyDescent="0.3">
      <c r="A9" s="12" t="s">
        <v>11</v>
      </c>
      <c r="B9" s="63" t="s">
        <v>725</v>
      </c>
      <c r="C9" s="1" t="s">
        <v>716</v>
      </c>
      <c r="D9" s="1" t="s">
        <v>717</v>
      </c>
      <c r="E9" s="1" t="s">
        <v>712</v>
      </c>
      <c r="F9" s="1" t="s">
        <v>713</v>
      </c>
      <c r="G9" s="1" t="s">
        <v>714</v>
      </c>
      <c r="H9" s="1" t="s">
        <v>715</v>
      </c>
    </row>
    <row r="10" spans="1:8" x14ac:dyDescent="0.25">
      <c r="A10" s="50">
        <v>1</v>
      </c>
      <c r="B10" s="52">
        <v>1.17E-3</v>
      </c>
      <c r="C10" s="36">
        <v>1.1169999999999999E-2</v>
      </c>
      <c r="D10" s="36">
        <v>1E-4</v>
      </c>
      <c r="E10" s="36">
        <v>1E-4</v>
      </c>
      <c r="F10" s="36">
        <v>9.1604142420726696E-3</v>
      </c>
      <c r="G10" s="36">
        <v>1.1163153030051907E-2</v>
      </c>
      <c r="H10" s="36">
        <v>1E-4</v>
      </c>
    </row>
    <row r="11" spans="1:8" x14ac:dyDescent="0.25">
      <c r="A11" s="50">
        <v>7</v>
      </c>
      <c r="B11" s="52">
        <v>1.17E-3</v>
      </c>
      <c r="C11" s="32">
        <v>1.1169999999999999E-2</v>
      </c>
      <c r="D11" s="36">
        <v>1E-4</v>
      </c>
      <c r="E11" s="36">
        <v>1E-4</v>
      </c>
      <c r="F11" s="36">
        <v>9.1030373674624299E-3</v>
      </c>
      <c r="G11" s="36">
        <v>1.1122169548187448E-2</v>
      </c>
      <c r="H11" s="36">
        <v>1E-4</v>
      </c>
    </row>
    <row r="12" spans="1:8" x14ac:dyDescent="0.25">
      <c r="A12" s="50">
        <v>30</v>
      </c>
      <c r="B12" s="52">
        <v>1.39E-3</v>
      </c>
      <c r="C12" s="32">
        <v>1.1390000000000001E-2</v>
      </c>
      <c r="D12" s="36">
        <v>1E-4</v>
      </c>
      <c r="E12" s="36">
        <v>1E-4</v>
      </c>
      <c r="F12" s="36">
        <v>9.1052641537210099E-3</v>
      </c>
      <c r="G12" s="36">
        <v>1.1186617252657865E-2</v>
      </c>
      <c r="H12" s="36">
        <v>1E-4</v>
      </c>
    </row>
    <row r="13" spans="1:8" x14ac:dyDescent="0.25">
      <c r="A13" s="50">
        <v>91</v>
      </c>
      <c r="B13" s="52">
        <v>1.24E-3</v>
      </c>
      <c r="C13" s="32">
        <v>1.124E-2</v>
      </c>
      <c r="D13" s="36">
        <v>1E-4</v>
      </c>
      <c r="E13" s="36">
        <v>1E-4</v>
      </c>
      <c r="F13" s="36">
        <v>8.3940350898257278E-3</v>
      </c>
      <c r="G13" s="36">
        <v>1.0635739349875519E-2</v>
      </c>
      <c r="H13" s="36">
        <v>1E-4</v>
      </c>
    </row>
    <row r="14" spans="1:8" x14ac:dyDescent="0.25">
      <c r="A14" s="50">
        <v>182</v>
      </c>
      <c r="B14" s="52">
        <v>1.23E-3</v>
      </c>
      <c r="C14" s="32">
        <v>1.123E-2</v>
      </c>
      <c r="D14" s="36">
        <v>1E-4</v>
      </c>
      <c r="E14" s="36">
        <v>1E-4</v>
      </c>
      <c r="F14" s="36">
        <v>7.5891885103118962E-3</v>
      </c>
      <c r="G14" s="36">
        <v>1.0057991793079925E-2</v>
      </c>
      <c r="H14" s="36">
        <v>1E-4</v>
      </c>
    </row>
    <row r="15" spans="1:8" x14ac:dyDescent="0.25">
      <c r="A15" s="50">
        <v>365</v>
      </c>
      <c r="B15" s="52">
        <v>1.2800000000000001E-3</v>
      </c>
      <c r="C15" s="32">
        <v>1.128E-2</v>
      </c>
      <c r="D15" s="36">
        <v>1E-4</v>
      </c>
      <c r="E15" s="36">
        <v>1E-4</v>
      </c>
      <c r="F15" s="36">
        <v>6.1832109629996685E-3</v>
      </c>
      <c r="G15" s="36">
        <v>9.0680078307140491E-3</v>
      </c>
      <c r="H15" s="36">
        <v>1E-4</v>
      </c>
    </row>
    <row r="16" spans="1:8" x14ac:dyDescent="0.25">
      <c r="A16" s="50">
        <v>730</v>
      </c>
      <c r="B16" s="52">
        <v>1.4400000000000001E-3</v>
      </c>
      <c r="C16" s="32">
        <v>1.1440000000000001E-2</v>
      </c>
      <c r="D16" s="36">
        <v>1E-4</v>
      </c>
      <c r="E16" s="36">
        <v>1.0387747744541815E-3</v>
      </c>
      <c r="F16" s="36">
        <v>3.9314292359768684E-3</v>
      </c>
      <c r="G16" s="36">
        <v>7.5053065971263351E-3</v>
      </c>
      <c r="H16" s="36">
        <v>1E-4</v>
      </c>
    </row>
    <row r="17" spans="1:8" x14ac:dyDescent="0.25">
      <c r="A17" s="50">
        <v>1095</v>
      </c>
      <c r="B17" s="52">
        <v>1.7099999999999999E-3</v>
      </c>
      <c r="C17" s="32">
        <v>1.171E-2</v>
      </c>
      <c r="D17" s="36">
        <v>1E-4</v>
      </c>
      <c r="E17" s="36">
        <v>3.3883184325142726E-3</v>
      </c>
      <c r="F17" s="36">
        <v>2.3231317383742055E-3</v>
      </c>
      <c r="G17" s="36">
        <v>6.4336655274101467E-3</v>
      </c>
      <c r="H17" s="36">
        <v>1E-4</v>
      </c>
    </row>
    <row r="18" spans="1:8" x14ac:dyDescent="0.25">
      <c r="A18" s="50">
        <v>1460</v>
      </c>
      <c r="B18" s="52">
        <v>2.1700000000000001E-3</v>
      </c>
      <c r="C18" s="32">
        <v>1.217E-2</v>
      </c>
      <c r="D18" s="36">
        <v>1E-4</v>
      </c>
      <c r="E18" s="36">
        <v>5.4678686618426439E-3</v>
      </c>
      <c r="F18" s="36">
        <v>1.3203121764001932E-3</v>
      </c>
      <c r="G18" s="36">
        <v>5.8487944117144239E-3</v>
      </c>
      <c r="H18" s="36">
        <v>1E-4</v>
      </c>
    </row>
    <row r="19" spans="1:8" x14ac:dyDescent="0.25">
      <c r="A19" s="50">
        <v>1825</v>
      </c>
      <c r="B19" s="52">
        <v>2.7699999999999999E-3</v>
      </c>
      <c r="C19" s="32">
        <v>1.277E-2</v>
      </c>
      <c r="D19" s="36">
        <v>1E-4</v>
      </c>
      <c r="E19" s="36">
        <v>7.3291756486670535E-3</v>
      </c>
      <c r="F19" s="36">
        <v>7.8106715604266174E-4</v>
      </c>
      <c r="G19" s="36">
        <v>5.6350479686019007E-3</v>
      </c>
      <c r="H19" s="36">
        <v>1E-4</v>
      </c>
    </row>
    <row r="20" spans="1:8" x14ac:dyDescent="0.25">
      <c r="A20" s="29">
        <v>2190</v>
      </c>
      <c r="B20" s="52">
        <v>3.46E-3</v>
      </c>
      <c r="C20" s="32">
        <v>1.346E-2</v>
      </c>
      <c r="D20" s="36">
        <v>1E-4</v>
      </c>
      <c r="E20" s="36">
        <v>9.0014825176993381E-3</v>
      </c>
      <c r="F20" s="36">
        <v>5.8382224207801812E-4</v>
      </c>
      <c r="G20" s="36">
        <v>5.6913016014842983E-3</v>
      </c>
      <c r="H20" s="36">
        <v>1.2286983985157016E-3</v>
      </c>
    </row>
    <row r="21" spans="1:8" x14ac:dyDescent="0.25">
      <c r="A21" s="29">
        <v>2555</v>
      </c>
      <c r="B21" s="52">
        <v>4.5399999999999998E-3</v>
      </c>
      <c r="C21" s="32">
        <v>1.4540000000000001E-2</v>
      </c>
      <c r="D21" s="36">
        <v>1E-4</v>
      </c>
      <c r="E21" s="36">
        <v>1.0846503876518102E-2</v>
      </c>
      <c r="F21" s="36">
        <v>9.7283520830623166E-4</v>
      </c>
      <c r="G21" s="36">
        <v>6.2777394345044507E-3</v>
      </c>
      <c r="H21" s="36">
        <v>2.8022605654955484E-3</v>
      </c>
    </row>
    <row r="22" spans="1:8" x14ac:dyDescent="0.25">
      <c r="A22" s="29">
        <v>2920</v>
      </c>
      <c r="B22" s="52">
        <v>5.9500000000000004E-3</v>
      </c>
      <c r="C22" s="32">
        <v>1.5949999999999999E-2</v>
      </c>
      <c r="D22" s="36">
        <v>1E-4</v>
      </c>
      <c r="E22" s="36">
        <v>1.2852303109832503E-2</v>
      </c>
      <c r="F22" s="36">
        <v>1.8446939653125787E-3</v>
      </c>
      <c r="G22" s="36">
        <v>7.3033528323661273E-3</v>
      </c>
      <c r="H22" s="36">
        <v>4.5966471676338735E-3</v>
      </c>
    </row>
    <row r="23" spans="1:8" x14ac:dyDescent="0.25">
      <c r="A23" s="50">
        <v>3285</v>
      </c>
      <c r="B23" s="52">
        <v>7.8200000000000006E-3</v>
      </c>
      <c r="C23" s="36">
        <v>1.7820000000000003E-2</v>
      </c>
      <c r="D23" s="36">
        <v>1E-4</v>
      </c>
      <c r="E23" s="36">
        <v>1.5186312019291104E-2</v>
      </c>
      <c r="F23" s="36">
        <v>3.2955891438661011E-3</v>
      </c>
      <c r="G23" s="36">
        <v>8.8739922456186442E-3</v>
      </c>
      <c r="H23" s="36">
        <v>6.766007754381357E-3</v>
      </c>
    </row>
    <row r="24" spans="1:8" x14ac:dyDescent="0.25">
      <c r="A24" s="50">
        <v>3650</v>
      </c>
      <c r="B24" s="52">
        <v>9.6100000000000005E-3</v>
      </c>
      <c r="C24" s="36">
        <v>1.9610000000000002E-2</v>
      </c>
      <c r="D24" s="36">
        <v>1E-4</v>
      </c>
      <c r="E24" s="36">
        <v>1.733768252132957E-2</v>
      </c>
      <c r="F24" s="36">
        <v>4.7591899807345843E-3</v>
      </c>
      <c r="G24" s="36">
        <v>1.0430849986238989E-2</v>
      </c>
      <c r="H24" s="36">
        <v>8.7891500137610122E-3</v>
      </c>
    </row>
    <row r="25" spans="1:8" x14ac:dyDescent="0.25">
      <c r="A25" s="50">
        <v>5475</v>
      </c>
      <c r="B25" s="52">
        <v>1.422E-2</v>
      </c>
      <c r="C25" s="36">
        <v>2.4219999999999998E-2</v>
      </c>
      <c r="D25" s="36">
        <v>4.2199999999999998E-3</v>
      </c>
      <c r="E25" s="36">
        <v>2.285547493923186E-2</v>
      </c>
      <c r="F25" s="36">
        <v>8.549248441984127E-3</v>
      </c>
      <c r="G25" s="36">
        <v>1.4455177458560091E-2</v>
      </c>
      <c r="H25" s="36">
        <v>1.3984822541439909E-2</v>
      </c>
    </row>
    <row r="26" spans="1:8" x14ac:dyDescent="0.25">
      <c r="A26" s="50">
        <v>7300</v>
      </c>
      <c r="B26" s="52">
        <v>1.7649999999999999E-2</v>
      </c>
      <c r="C26" s="36">
        <v>2.7650000000000001E-2</v>
      </c>
      <c r="D26" s="36">
        <v>7.6499999999999988E-3</v>
      </c>
      <c r="E26" s="36">
        <v>2.6545561821514175E-2</v>
      </c>
      <c r="F26" s="36">
        <v>1.1744331257987194E-2</v>
      </c>
      <c r="G26" s="36">
        <v>1.7717379469990854E-2</v>
      </c>
      <c r="H26" s="36">
        <v>1.7582620530009144E-2</v>
      </c>
    </row>
    <row r="27" spans="1:8" x14ac:dyDescent="0.25">
      <c r="A27" s="50">
        <v>10950</v>
      </c>
      <c r="B27" s="52">
        <v>1.899E-2</v>
      </c>
      <c r="C27" s="36">
        <v>2.8990000000000002E-2</v>
      </c>
      <c r="D27" s="36">
        <v>8.9899999999999997E-3</v>
      </c>
      <c r="E27" s="36">
        <v>2.7981427192262709E-2</v>
      </c>
      <c r="F27" s="36">
        <v>1.299774318118207E-2</v>
      </c>
      <c r="G27" s="36">
        <v>1.8995530843701477E-2</v>
      </c>
      <c r="H27" s="36">
        <v>1.8984469156298523E-2</v>
      </c>
    </row>
  </sheetData>
  <mergeCells count="1">
    <mergeCell ref="A1:D2"/>
  </mergeCells>
  <phoneticPr fontId="3" type="noConversion"/>
  <pageMargins left="0.7" right="0.7" top="0.75" bottom="0.75" header="0.3" footer="0.3"/>
  <pageSetup orientation="portrait" r:id="rId1"/>
  <headerFooter>
    <oddFooter>&amp;L&amp;1#&amp;"Calibri"&amp;10&amp;K000000Internal</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7"/>
  <dimension ref="A1:H26"/>
  <sheetViews>
    <sheetView topLeftCell="A3" workbookViewId="0">
      <selection activeCell="F19" sqref="F19"/>
    </sheetView>
  </sheetViews>
  <sheetFormatPr defaultColWidth="8.81640625" defaultRowHeight="12.5" x14ac:dyDescent="0.25"/>
  <cols>
    <col min="2" max="2" width="10.1796875" bestFit="1" customWidth="1"/>
    <col min="3" max="3" width="15" bestFit="1" customWidth="1"/>
    <col min="4" max="4" width="13.81640625" customWidth="1"/>
    <col min="5" max="5" width="17" customWidth="1"/>
    <col min="6" max="6" width="14.81640625" customWidth="1"/>
    <col min="7" max="7" width="19.81640625" customWidth="1"/>
    <col min="8" max="8" width="23.81640625" customWidth="1"/>
  </cols>
  <sheetData>
    <row r="1" spans="1:8" x14ac:dyDescent="0.25">
      <c r="A1" s="76" t="s">
        <v>662</v>
      </c>
      <c r="B1" s="76"/>
      <c r="C1" s="76"/>
      <c r="D1" s="76"/>
    </row>
    <row r="2" spans="1:8" ht="13" thickBot="1" x14ac:dyDescent="0.3">
      <c r="A2" s="78"/>
      <c r="B2" s="78"/>
      <c r="C2" s="78"/>
      <c r="D2" s="78"/>
    </row>
    <row r="3" spans="1:8" x14ac:dyDescent="0.25">
      <c r="A3" s="17" t="s">
        <v>1</v>
      </c>
      <c r="B3" s="7" t="s">
        <v>662</v>
      </c>
      <c r="C3" s="7" t="s">
        <v>3</v>
      </c>
      <c r="D3" s="9" t="s">
        <v>4</v>
      </c>
    </row>
    <row r="4" spans="1:8" x14ac:dyDescent="0.25">
      <c r="A4" s="19" t="s">
        <v>5</v>
      </c>
      <c r="B4" s="11" t="str">
        <f>IRCAD!B4</f>
        <v>eco2508</v>
      </c>
      <c r="C4" s="11" t="s">
        <v>6</v>
      </c>
      <c r="D4" s="13" t="s">
        <v>19</v>
      </c>
    </row>
    <row r="5" spans="1:8" ht="13" thickBot="1" x14ac:dyDescent="0.3">
      <c r="A5" s="19" t="s">
        <v>7</v>
      </c>
      <c r="B5" s="11" t="s">
        <v>8</v>
      </c>
      <c r="C5" s="30" t="s">
        <v>9</v>
      </c>
      <c r="D5" s="16"/>
    </row>
    <row r="6" spans="1:8" ht="13" thickBot="1" x14ac:dyDescent="0.3">
      <c r="A6" s="31" t="s">
        <v>663</v>
      </c>
      <c r="B6" s="21">
        <f>SessionDate</f>
        <v>40513</v>
      </c>
      <c r="C6" s="30"/>
      <c r="D6" s="16"/>
    </row>
    <row r="7" spans="1:8" x14ac:dyDescent="0.25">
      <c r="A7" s="5"/>
      <c r="B7" s="5"/>
      <c r="C7" s="5"/>
      <c r="D7" s="5"/>
    </row>
    <row r="8" spans="1:8" ht="13" thickBot="1" x14ac:dyDescent="0.3"/>
    <row r="9" spans="1:8" ht="13" x14ac:dyDescent="0.3">
      <c r="A9" s="12" t="s">
        <v>11</v>
      </c>
      <c r="B9" s="63" t="s">
        <v>725</v>
      </c>
      <c r="C9" s="1" t="s">
        <v>716</v>
      </c>
      <c r="D9" s="1" t="s">
        <v>717</v>
      </c>
      <c r="E9" s="1" t="s">
        <v>712</v>
      </c>
      <c r="F9" s="1" t="s">
        <v>713</v>
      </c>
      <c r="G9" s="1" t="s">
        <v>714</v>
      </c>
      <c r="H9" s="1" t="s">
        <v>715</v>
      </c>
    </row>
    <row r="10" spans="1:8" x14ac:dyDescent="0.25">
      <c r="A10" s="50">
        <v>7</v>
      </c>
      <c r="B10" s="52">
        <v>4.0000000000000001E-3</v>
      </c>
      <c r="C10" s="32">
        <v>2.4E-2</v>
      </c>
      <c r="D10">
        <v>1E-4</v>
      </c>
      <c r="E10">
        <v>1E-4</v>
      </c>
      <c r="F10">
        <v>2.387564082528737E-2</v>
      </c>
      <c r="G10">
        <v>2.8880423870468623E-2</v>
      </c>
      <c r="H10">
        <v>1E-4</v>
      </c>
    </row>
    <row r="11" spans="1:8" x14ac:dyDescent="0.25">
      <c r="A11" s="50">
        <v>30</v>
      </c>
      <c r="B11" s="52">
        <v>5.1500000000000001E-3</v>
      </c>
      <c r="C11" s="32">
        <v>2.5149999999999999E-2</v>
      </c>
      <c r="D11">
        <v>1E-4</v>
      </c>
      <c r="E11">
        <v>1E-4</v>
      </c>
      <c r="F11">
        <v>2.4621204856910453E-2</v>
      </c>
      <c r="G11">
        <v>2.964154313164466E-2</v>
      </c>
      <c r="H11">
        <v>1E-4</v>
      </c>
    </row>
    <row r="12" spans="1:8" x14ac:dyDescent="0.25">
      <c r="A12" s="50">
        <v>91</v>
      </c>
      <c r="B12" s="52">
        <v>3.62E-3</v>
      </c>
      <c r="C12" s="32">
        <v>2.3620000000000002E-2</v>
      </c>
      <c r="D12">
        <v>1E-4</v>
      </c>
      <c r="E12">
        <v>1E-4</v>
      </c>
      <c r="F12">
        <v>2.2048922309676353E-2</v>
      </c>
      <c r="G12">
        <v>2.7109348374688799E-2</v>
      </c>
      <c r="H12">
        <v>1E-4</v>
      </c>
    </row>
    <row r="13" spans="1:8" x14ac:dyDescent="0.25">
      <c r="A13" s="50">
        <v>182</v>
      </c>
      <c r="B13" s="52">
        <v>4.8999999999999998E-3</v>
      </c>
      <c r="C13" s="32">
        <v>2.4899999999999999E-2</v>
      </c>
      <c r="D13">
        <v>1E-4</v>
      </c>
      <c r="E13">
        <v>1E-4</v>
      </c>
      <c r="F13">
        <v>2.1852778662007806E-2</v>
      </c>
      <c r="G13">
        <v>2.6969979482699816E-2</v>
      </c>
      <c r="H13">
        <v>1E-4</v>
      </c>
    </row>
    <row r="14" spans="1:8" x14ac:dyDescent="0.25">
      <c r="A14" s="50">
        <v>365</v>
      </c>
      <c r="B14" s="52">
        <v>6.3600000000000002E-3</v>
      </c>
      <c r="C14" s="32">
        <v>2.6360000000000001E-2</v>
      </c>
      <c r="D14">
        <v>1E-4</v>
      </c>
      <c r="E14">
        <v>1E-4</v>
      </c>
      <c r="F14">
        <v>2.060882035985653E-2</v>
      </c>
      <c r="G14">
        <v>2.5830019576785122E-2</v>
      </c>
      <c r="H14">
        <v>1E-4</v>
      </c>
    </row>
    <row r="15" spans="1:8" x14ac:dyDescent="0.25">
      <c r="A15" s="50">
        <v>730</v>
      </c>
      <c r="B15" s="52">
        <v>7.92E-3</v>
      </c>
      <c r="C15" s="32">
        <v>2.792E-2</v>
      </c>
      <c r="D15">
        <v>1E-4</v>
      </c>
      <c r="E15">
        <v>1.6051008422560053E-3</v>
      </c>
      <c r="F15">
        <v>1.7689797152528469E-2</v>
      </c>
      <c r="G15">
        <v>2.3083266492815835E-2</v>
      </c>
      <c r="H15">
        <v>1E-4</v>
      </c>
    </row>
    <row r="16" spans="1:8" x14ac:dyDescent="0.25">
      <c r="A16" s="50">
        <v>1095</v>
      </c>
      <c r="B16" s="52">
        <v>9.3399999999999993E-3</v>
      </c>
      <c r="C16" s="32">
        <v>2.9339999999999998E-2</v>
      </c>
      <c r="D16">
        <v>1E-4</v>
      </c>
      <c r="E16">
        <v>6.4127445432893785E-3</v>
      </c>
      <c r="F16">
        <v>1.5621530371266382E-2</v>
      </c>
      <c r="G16">
        <v>2.1149163818525364E-2</v>
      </c>
      <c r="H16">
        <v>1E-4</v>
      </c>
    </row>
    <row r="17" spans="1:8" x14ac:dyDescent="0.25">
      <c r="A17" s="50">
        <v>1460</v>
      </c>
      <c r="B17" s="52">
        <v>1.183E-2</v>
      </c>
      <c r="C17" s="32">
        <v>3.1829999999999997E-2</v>
      </c>
      <c r="D17">
        <v>1E-4</v>
      </c>
      <c r="E17">
        <v>1.1541044110421081E-2</v>
      </c>
      <c r="F17">
        <v>1.5394865470457502E-2</v>
      </c>
      <c r="G17">
        <v>2.1026986029286057E-2</v>
      </c>
      <c r="H17">
        <v>2.6330139707139415E-3</v>
      </c>
    </row>
    <row r="18" spans="1:8" x14ac:dyDescent="0.25">
      <c r="A18" s="50">
        <v>1825</v>
      </c>
      <c r="B18" s="52">
        <v>1.453E-2</v>
      </c>
      <c r="C18" s="32">
        <v>3.4529999999999998E-2</v>
      </c>
      <c r="D18">
        <v>1E-4</v>
      </c>
      <c r="E18">
        <v>1.62957538792802E-2</v>
      </c>
      <c r="F18">
        <v>1.5979124718364941E-2</v>
      </c>
      <c r="G18">
        <v>2.1692619921504751E-2</v>
      </c>
      <c r="H18">
        <v>7.3673800784952474E-3</v>
      </c>
    </row>
    <row r="19" spans="1:8" x14ac:dyDescent="0.25">
      <c r="A19" s="29">
        <v>2190</v>
      </c>
      <c r="B19" s="52">
        <v>1.7180000000000001E-2</v>
      </c>
      <c r="C19" s="32">
        <v>3.7180000000000005E-2</v>
      </c>
      <c r="D19">
        <v>1E-4</v>
      </c>
      <c r="E19">
        <v>2.0545963456252148E-2</v>
      </c>
      <c r="F19">
        <v>1.6981384163859175E-2</v>
      </c>
      <c r="G19">
        <v>2.2758254003710746E-2</v>
      </c>
      <c r="H19">
        <v>1.1601745996289256E-2</v>
      </c>
    </row>
    <row r="20" spans="1:8" x14ac:dyDescent="0.25">
      <c r="A20" s="29">
        <v>2555</v>
      </c>
      <c r="B20" s="52">
        <v>1.915E-2</v>
      </c>
      <c r="C20" s="32">
        <v>3.9150000000000004E-2</v>
      </c>
      <c r="D20">
        <v>1E-4</v>
      </c>
      <c r="E20">
        <v>2.3762207927876262E-2</v>
      </c>
      <c r="F20">
        <v>1.7668122529711575E-2</v>
      </c>
      <c r="G20">
        <v>2.3494348586261128E-2</v>
      </c>
      <c r="H20">
        <v>1.4805651413738873E-2</v>
      </c>
    </row>
    <row r="21" spans="1:8" x14ac:dyDescent="0.25">
      <c r="A21" s="29">
        <v>2920</v>
      </c>
      <c r="B21" s="52">
        <v>2.0910000000000002E-2</v>
      </c>
      <c r="C21" s="32">
        <v>4.0910000000000002E-2</v>
      </c>
      <c r="D21">
        <v>9.1000000000000109E-4</v>
      </c>
      <c r="E21">
        <v>2.6492784098275532E-2</v>
      </c>
      <c r="F21">
        <v>1.8428717364151932E-2</v>
      </c>
      <c r="G21">
        <v>2.4293382080915318E-2</v>
      </c>
      <c r="H21">
        <v>1.7526617919084685E-2</v>
      </c>
    </row>
    <row r="22" spans="1:8" x14ac:dyDescent="0.25">
      <c r="A22" s="50">
        <v>3285</v>
      </c>
      <c r="B22" s="52">
        <v>2.2169999999999999E-2</v>
      </c>
      <c r="C22">
        <v>4.2169999999999999E-2</v>
      </c>
      <c r="D22">
        <v>2.1699999999999983E-3</v>
      </c>
      <c r="E22">
        <v>2.8508669579812924E-2</v>
      </c>
      <c r="F22">
        <v>1.8910379838608472E-2</v>
      </c>
      <c r="G22">
        <v>2.4804980614046606E-2</v>
      </c>
      <c r="H22">
        <v>1.9535019385953391E-2</v>
      </c>
    </row>
    <row r="23" spans="1:8" x14ac:dyDescent="0.25">
      <c r="A23" s="50">
        <v>3650</v>
      </c>
      <c r="B23" s="52">
        <v>2.3060000000000001E-2</v>
      </c>
      <c r="C23">
        <v>4.3060000000000001E-2</v>
      </c>
      <c r="D23">
        <v>3.0600000000000002E-3</v>
      </c>
      <c r="E23">
        <v>2.9987353784746554E-2</v>
      </c>
      <c r="F23">
        <v>1.919420996422137E-2</v>
      </c>
      <c r="G23">
        <v>2.511212496559747E-2</v>
      </c>
      <c r="H23">
        <v>2.1007875034402532E-2</v>
      </c>
    </row>
    <row r="24" spans="1:8" x14ac:dyDescent="0.25">
      <c r="A24" s="50">
        <v>5475</v>
      </c>
      <c r="B24" s="52">
        <v>2.7349999999999999E-2</v>
      </c>
      <c r="C24">
        <v>4.7350000000000003E-2</v>
      </c>
      <c r="D24">
        <v>7.3499999999999989E-3</v>
      </c>
      <c r="E24">
        <v>3.5756176917135771E-2</v>
      </c>
      <c r="F24">
        <v>2.1961461392256236E-2</v>
      </c>
      <c r="G24">
        <v>2.7937943646400228E-2</v>
      </c>
      <c r="H24">
        <v>2.676205635359977E-2</v>
      </c>
    </row>
    <row r="25" spans="1:8" x14ac:dyDescent="0.25">
      <c r="A25" s="50">
        <v>7300</v>
      </c>
      <c r="B25" s="52">
        <v>2.9590000000000002E-2</v>
      </c>
      <c r="C25">
        <v>4.9590000000000002E-2</v>
      </c>
      <c r="D25">
        <v>9.5900000000000013E-3</v>
      </c>
      <c r="E25">
        <v>3.8419866838273094E-2</v>
      </c>
      <c r="F25">
        <v>2.3765186621976225E-2</v>
      </c>
      <c r="G25">
        <v>2.975844867497714E-2</v>
      </c>
      <c r="H25">
        <v>2.9421551325022863E-2</v>
      </c>
    </row>
    <row r="26" spans="1:8" x14ac:dyDescent="0.25">
      <c r="A26" s="50">
        <v>10950</v>
      </c>
      <c r="B26" s="52">
        <v>2.9610000000000001E-2</v>
      </c>
      <c r="C26">
        <v>4.9610000000000001E-2</v>
      </c>
      <c r="D26">
        <v>9.6100000000000005E-3</v>
      </c>
      <c r="E26">
        <v>3.8596034619653767E-2</v>
      </c>
      <c r="F26">
        <v>2.3624380193623847E-2</v>
      </c>
      <c r="G26">
        <v>2.9623827109253698E-2</v>
      </c>
      <c r="H26">
        <v>2.9596172890746304E-2</v>
      </c>
    </row>
  </sheetData>
  <mergeCells count="1">
    <mergeCell ref="A1:D2"/>
  </mergeCells>
  <phoneticPr fontId="3" type="noConversion"/>
  <pageMargins left="0.7" right="0.7" top="0.75" bottom="0.75" header="0.3" footer="0.3"/>
  <pageSetup orientation="portrait" r:id="rId1"/>
  <headerFooter>
    <oddFooter>&amp;L&amp;1#&amp;"Calibri"&amp;10&amp;K000000Internal</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5"/>
  <dimension ref="A1:H27"/>
  <sheetViews>
    <sheetView workbookViewId="0">
      <selection activeCell="B9" sqref="B9"/>
    </sheetView>
  </sheetViews>
  <sheetFormatPr defaultColWidth="9.1796875" defaultRowHeight="12.5" x14ac:dyDescent="0.25"/>
  <cols>
    <col min="1" max="1" width="10.81640625" style="36" bestFit="1" customWidth="1"/>
    <col min="2" max="2" width="12.81640625" style="36" bestFit="1" customWidth="1"/>
    <col min="3" max="3" width="15" style="36" bestFit="1" customWidth="1"/>
    <col min="4" max="4" width="12.81640625" style="36" customWidth="1"/>
    <col min="5" max="5" width="19.36328125" style="36" customWidth="1"/>
    <col min="6" max="6" width="18" style="36" customWidth="1"/>
    <col min="7" max="7" width="19.6328125" style="36" customWidth="1"/>
    <col min="8" max="8" width="20.1796875" style="36" customWidth="1"/>
    <col min="9" max="16384" width="9.1796875" style="36"/>
  </cols>
  <sheetData>
    <row r="1" spans="1:8" x14ac:dyDescent="0.25">
      <c r="A1" s="76" t="s">
        <v>671</v>
      </c>
      <c r="B1" s="76"/>
      <c r="C1" s="76"/>
      <c r="D1" s="76"/>
    </row>
    <row r="2" spans="1:8" ht="13" thickBot="1" x14ac:dyDescent="0.3">
      <c r="A2" s="78"/>
      <c r="B2" s="78"/>
      <c r="C2" s="78"/>
      <c r="D2" s="78"/>
    </row>
    <row r="3" spans="1:8" x14ac:dyDescent="0.25">
      <c r="A3" s="17" t="s">
        <v>1</v>
      </c>
      <c r="B3" s="7" t="s">
        <v>671</v>
      </c>
      <c r="C3" s="7" t="s">
        <v>3</v>
      </c>
      <c r="D3" s="9" t="s">
        <v>4</v>
      </c>
    </row>
    <row r="4" spans="1:8" x14ac:dyDescent="0.25">
      <c r="A4" s="19" t="s">
        <v>5</v>
      </c>
      <c r="B4" s="11" t="str">
        <f>IRCAD!B4</f>
        <v>eco2508</v>
      </c>
      <c r="C4" s="11" t="s">
        <v>6</v>
      </c>
      <c r="D4" s="13" t="s">
        <v>19</v>
      </c>
    </row>
    <row r="5" spans="1:8" ht="13" thickBot="1" x14ac:dyDescent="0.3">
      <c r="A5" s="19" t="s">
        <v>7</v>
      </c>
      <c r="B5" s="11" t="s">
        <v>8</v>
      </c>
      <c r="C5" s="30" t="s">
        <v>9</v>
      </c>
      <c r="D5" s="45"/>
    </row>
    <row r="6" spans="1:8" ht="13" thickBot="1" x14ac:dyDescent="0.3">
      <c r="A6" s="31" t="s">
        <v>663</v>
      </c>
      <c r="B6" s="21">
        <f>SessionDate</f>
        <v>40513</v>
      </c>
      <c r="C6" s="30"/>
      <c r="D6" s="16"/>
    </row>
    <row r="7" spans="1:8" x14ac:dyDescent="0.25">
      <c r="A7" s="5"/>
      <c r="B7" s="5"/>
      <c r="C7" s="5"/>
      <c r="D7" s="5"/>
    </row>
    <row r="8" spans="1:8" ht="13" thickBot="1" x14ac:dyDescent="0.3"/>
    <row r="9" spans="1:8" ht="13" x14ac:dyDescent="0.3">
      <c r="A9" s="12" t="s">
        <v>11</v>
      </c>
      <c r="B9" s="63" t="s">
        <v>725</v>
      </c>
      <c r="C9" s="1" t="s">
        <v>716</v>
      </c>
      <c r="D9" s="1" t="s">
        <v>717</v>
      </c>
      <c r="E9" s="1" t="s">
        <v>712</v>
      </c>
      <c r="F9" s="1" t="s">
        <v>713</v>
      </c>
      <c r="G9" s="1" t="s">
        <v>714</v>
      </c>
      <c r="H9" s="1" t="s">
        <v>715</v>
      </c>
    </row>
    <row r="10" spans="1:8" x14ac:dyDescent="0.25">
      <c r="A10" s="50">
        <v>1</v>
      </c>
      <c r="B10" s="52">
        <v>4.2500000000000003E-3</v>
      </c>
      <c r="C10" s="32">
        <v>2.9250000000000002E-2</v>
      </c>
      <c r="D10" s="36">
        <v>1E-4</v>
      </c>
      <c r="E10" s="36">
        <v>1E-4</v>
      </c>
      <c r="F10" s="36">
        <v>2.8227404999171292E-2</v>
      </c>
      <c r="G10" s="36">
        <v>3.422945909015572E-2</v>
      </c>
      <c r="H10" s="36">
        <v>1E-4</v>
      </c>
    </row>
    <row r="11" spans="1:8" x14ac:dyDescent="0.25">
      <c r="A11" s="50">
        <v>7</v>
      </c>
      <c r="B11" s="52">
        <v>5.45E-3</v>
      </c>
      <c r="C11" s="32">
        <v>3.0450000000000001E-2</v>
      </c>
      <c r="D11" s="36">
        <v>1E-4</v>
      </c>
      <c r="E11" s="36">
        <v>1E-4</v>
      </c>
      <c r="F11" s="36">
        <v>2.9292159509018582E-2</v>
      </c>
      <c r="G11" s="36">
        <v>3.5306508644562348E-2</v>
      </c>
      <c r="H11" s="36">
        <v>1E-4</v>
      </c>
    </row>
    <row r="12" spans="1:8" x14ac:dyDescent="0.25">
      <c r="A12" s="50">
        <v>30</v>
      </c>
      <c r="B12" s="52">
        <v>5.0000000000000001E-3</v>
      </c>
      <c r="C12" s="32">
        <v>3.0000000000000002E-2</v>
      </c>
      <c r="D12" s="36">
        <v>1E-4</v>
      </c>
      <c r="E12" s="36">
        <v>1E-4</v>
      </c>
      <c r="F12" s="36">
        <v>2.8328836933770956E-2</v>
      </c>
      <c r="G12" s="36">
        <v>3.4389851757973593E-2</v>
      </c>
      <c r="H12" s="36">
        <v>1E-4</v>
      </c>
    </row>
    <row r="13" spans="1:8" x14ac:dyDescent="0.25">
      <c r="A13" s="50">
        <v>91</v>
      </c>
      <c r="B13" s="52">
        <v>5.94E-3</v>
      </c>
      <c r="C13" s="32">
        <v>3.0940000000000002E-2</v>
      </c>
      <c r="D13" s="36">
        <v>1E-4</v>
      </c>
      <c r="E13" s="36">
        <v>1E-4</v>
      </c>
      <c r="F13" s="36">
        <v>2.7945939854589215E-2</v>
      </c>
      <c r="G13" s="36">
        <v>3.4127218049626554E-2</v>
      </c>
      <c r="H13" s="36">
        <v>1E-4</v>
      </c>
    </row>
    <row r="14" spans="1:8" x14ac:dyDescent="0.25">
      <c r="A14" s="50">
        <v>182</v>
      </c>
      <c r="B14" s="52">
        <v>8.1300000000000001E-3</v>
      </c>
      <c r="C14" s="32">
        <v>3.313E-2</v>
      </c>
      <c r="D14" s="36">
        <v>1E-4</v>
      </c>
      <c r="E14" s="36">
        <v>1E-4</v>
      </c>
      <c r="F14" s="36">
        <v>2.8262372917163756E-2</v>
      </c>
      <c r="G14" s="36">
        <v>3.4613975379239777E-2</v>
      </c>
      <c r="H14" s="36">
        <v>1E-4</v>
      </c>
    </row>
    <row r="15" spans="1:8" x14ac:dyDescent="0.25">
      <c r="A15" s="50">
        <v>365</v>
      </c>
      <c r="B15" s="52">
        <v>5.7400000000000003E-3</v>
      </c>
      <c r="C15" s="32">
        <v>3.0740000000000003E-2</v>
      </c>
      <c r="D15" s="36">
        <v>1E-4</v>
      </c>
      <c r="E15" s="36">
        <v>1E-4</v>
      </c>
      <c r="F15" s="36">
        <v>2.2440425841356366E-2</v>
      </c>
      <c r="G15" s="36">
        <v>2.9104023492142146E-2</v>
      </c>
      <c r="H15" s="36">
        <v>1E-4</v>
      </c>
    </row>
    <row r="16" spans="1:8" x14ac:dyDescent="0.25">
      <c r="A16" s="50">
        <v>730</v>
      </c>
      <c r="B16" s="52">
        <v>7.6600000000000001E-3</v>
      </c>
      <c r="C16" s="32">
        <v>3.2660000000000002E-2</v>
      </c>
      <c r="D16" s="36">
        <v>1E-4</v>
      </c>
      <c r="E16" s="36">
        <v>1.1444882294830965E-3</v>
      </c>
      <c r="F16" s="36">
        <v>1.8675511770516906E-2</v>
      </c>
      <c r="G16" s="36">
        <v>2.5855919791379002E-2</v>
      </c>
      <c r="H16" s="36">
        <v>1E-4</v>
      </c>
    </row>
    <row r="17" spans="1:8" x14ac:dyDescent="0.25">
      <c r="A17" s="50">
        <v>1095</v>
      </c>
      <c r="B17" s="52">
        <v>1.059E-2</v>
      </c>
      <c r="C17" s="32">
        <v>3.5590000000000004E-2</v>
      </c>
      <c r="D17" s="36">
        <v>1E-4</v>
      </c>
      <c r="E17" s="36">
        <v>8.5019037595465141E-3</v>
      </c>
      <c r="F17" s="36">
        <v>1.7178096240453487E-2</v>
      </c>
      <c r="G17" s="36">
        <v>2.4760996582230441E-2</v>
      </c>
      <c r="H17" s="36">
        <v>1E-4</v>
      </c>
    </row>
    <row r="18" spans="1:8" x14ac:dyDescent="0.25">
      <c r="A18" s="50">
        <v>1460</v>
      </c>
      <c r="B18" s="52">
        <v>1.4590000000000001E-2</v>
      </c>
      <c r="C18" s="32">
        <v>3.959E-2</v>
      </c>
      <c r="D18" s="36">
        <v>1E-4</v>
      </c>
      <c r="E18" s="36">
        <v>1.5949978441342404E-2</v>
      </c>
      <c r="F18" s="36">
        <v>1.7730021558657598E-2</v>
      </c>
      <c r="G18" s="36">
        <v>2.5626383235143269E-2</v>
      </c>
      <c r="H18" s="36">
        <v>3.5536167648567308E-3</v>
      </c>
    </row>
    <row r="19" spans="1:8" x14ac:dyDescent="0.25">
      <c r="A19" s="29">
        <v>1825</v>
      </c>
      <c r="B19" s="52">
        <v>1.806E-2</v>
      </c>
      <c r="C19" s="32">
        <v>4.3060000000000001E-2</v>
      </c>
      <c r="D19" s="36">
        <v>1E-4</v>
      </c>
      <c r="E19" s="36">
        <v>2.2105341703613727E-2</v>
      </c>
      <c r="F19" s="36">
        <v>1.8514658296386273E-2</v>
      </c>
      <c r="G19" s="36">
        <v>2.66551439058057E-2</v>
      </c>
      <c r="H19" s="36">
        <v>9.4648560941942971E-3</v>
      </c>
    </row>
    <row r="20" spans="1:8" x14ac:dyDescent="0.25">
      <c r="A20" s="29">
        <v>2190</v>
      </c>
      <c r="B20" s="52">
        <v>2.104E-2</v>
      </c>
      <c r="C20" s="32">
        <v>4.6039999999999998E-2</v>
      </c>
      <c r="D20" s="36">
        <v>1E-4</v>
      </c>
      <c r="E20" s="36">
        <v>2.7176704715101817E-2</v>
      </c>
      <c r="F20" s="36">
        <v>1.9403295284898182E-2</v>
      </c>
      <c r="G20" s="36">
        <v>2.7733904804452893E-2</v>
      </c>
      <c r="H20" s="36">
        <v>1.4346095195547106E-2</v>
      </c>
    </row>
    <row r="21" spans="1:8" x14ac:dyDescent="0.25">
      <c r="A21" s="29">
        <v>2555</v>
      </c>
      <c r="B21" s="52">
        <v>2.3400000000000001E-2</v>
      </c>
      <c r="C21" s="32">
        <v>4.8399999999999999E-2</v>
      </c>
      <c r="D21" s="36">
        <v>1E-4</v>
      </c>
      <c r="E21" s="36">
        <v>3.1165459866135312E-2</v>
      </c>
      <c r="F21" s="36">
        <v>2.0134540133864693E-2</v>
      </c>
      <c r="G21" s="36">
        <v>2.8613218303513356E-2</v>
      </c>
      <c r="H21" s="36">
        <v>1.8186781696486645E-2</v>
      </c>
    </row>
    <row r="22" spans="1:8" x14ac:dyDescent="0.25">
      <c r="A22" s="50">
        <v>2920</v>
      </c>
      <c r="B22" s="52">
        <v>2.734E-2</v>
      </c>
      <c r="C22" s="36">
        <v>5.2339999999999998E-2</v>
      </c>
      <c r="D22" s="36">
        <v>2.3399999999999983E-3</v>
      </c>
      <c r="E22" s="36">
        <v>3.6373935653191782E-2</v>
      </c>
      <c r="F22" s="36">
        <v>2.2806064346808218E-2</v>
      </c>
      <c r="G22" s="36">
        <v>3.1400058497098378E-2</v>
      </c>
      <c r="H22" s="36">
        <v>2.3279941502901618E-2</v>
      </c>
    </row>
    <row r="23" spans="1:8" x14ac:dyDescent="0.25">
      <c r="A23" s="50">
        <v>3285</v>
      </c>
      <c r="B23" s="52">
        <v>2.971E-2</v>
      </c>
      <c r="C23" s="36">
        <v>5.4710000000000002E-2</v>
      </c>
      <c r="D23" s="36">
        <v>4.7099999999999989E-3</v>
      </c>
      <c r="E23" s="36">
        <v>3.973182558945848E-2</v>
      </c>
      <c r="F23" s="36">
        <v>2.4188174410541524E-2</v>
      </c>
      <c r="G23" s="36">
        <v>3.2871976736855928E-2</v>
      </c>
      <c r="H23" s="36">
        <v>2.6548023263144069E-2</v>
      </c>
    </row>
    <row r="24" spans="1:8" x14ac:dyDescent="0.25">
      <c r="A24" s="50">
        <v>3650</v>
      </c>
      <c r="B24" s="52">
        <v>3.1199999999999999E-2</v>
      </c>
      <c r="C24" s="36">
        <v>5.62E-2</v>
      </c>
      <c r="D24" s="36">
        <v>6.1999999999999972E-3</v>
      </c>
      <c r="E24" s="36">
        <v>4.1991195045411336E-2</v>
      </c>
      <c r="F24" s="36">
        <v>2.4908804954588658E-2</v>
      </c>
      <c r="G24" s="36">
        <v>3.366254995871696E-2</v>
      </c>
      <c r="H24" s="36">
        <v>2.8737450041283034E-2</v>
      </c>
    </row>
    <row r="25" spans="1:8" x14ac:dyDescent="0.25">
      <c r="A25" s="50">
        <v>5475</v>
      </c>
      <c r="B25" s="52">
        <v>3.6949999999999997E-2</v>
      </c>
      <c r="C25" s="36">
        <v>6.1949999999999998E-2</v>
      </c>
      <c r="D25" s="36">
        <v>1.1949999999999995E-2</v>
      </c>
      <c r="E25" s="36">
        <v>4.96739143867517E-2</v>
      </c>
      <c r="F25" s="36">
        <v>2.8726085613248298E-2</v>
      </c>
      <c r="G25" s="36">
        <v>3.765553237568027E-2</v>
      </c>
      <c r="H25" s="36">
        <v>3.6244467624319723E-2</v>
      </c>
    </row>
    <row r="26" spans="1:8" x14ac:dyDescent="0.25">
      <c r="A26" s="50">
        <v>7300</v>
      </c>
      <c r="B26" s="52">
        <v>4.0320000000000002E-2</v>
      </c>
      <c r="C26" s="36">
        <v>6.5320000000000003E-2</v>
      </c>
      <c r="D26" s="36">
        <v>1.532E-2</v>
      </c>
      <c r="E26" s="36">
        <v>5.3597647749030183E-2</v>
      </c>
      <c r="F26" s="36">
        <v>3.1542352250969824E-2</v>
      </c>
      <c r="G26" s="36">
        <v>4.0522138409972569E-2</v>
      </c>
      <c r="H26" s="36">
        <v>4.0117861590027434E-2</v>
      </c>
    </row>
    <row r="27" spans="1:8" x14ac:dyDescent="0.25">
      <c r="A27" s="50">
        <v>10950</v>
      </c>
      <c r="B27" s="52">
        <v>4.1829999999999999E-2</v>
      </c>
      <c r="C27" s="36">
        <v>6.6830000000000001E-2</v>
      </c>
      <c r="D27" s="36">
        <v>1.6829999999999998E-2</v>
      </c>
      <c r="E27" s="36">
        <v>5.531174821578512E-2</v>
      </c>
      <c r="F27" s="36">
        <v>3.2848251784214882E-2</v>
      </c>
      <c r="G27" s="36">
        <v>4.1846592531104433E-2</v>
      </c>
      <c r="H27" s="36">
        <v>4.1813407468895565E-2</v>
      </c>
    </row>
  </sheetData>
  <mergeCells count="1">
    <mergeCell ref="A1:D2"/>
  </mergeCells>
  <phoneticPr fontId="3" type="noConversion"/>
  <pageMargins left="0.7" right="0.7" top="0.75" bottom="0.75" header="0.3" footer="0.3"/>
  <pageSetup orientation="portrait" r:id="rId1"/>
  <headerFooter>
    <oddFooter>&amp;L&amp;1#&amp;"Calibri"&amp;10&amp;K000000Internal</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6"/>
  <dimension ref="A1:H27"/>
  <sheetViews>
    <sheetView topLeftCell="A5" workbookViewId="0">
      <selection activeCell="B9" sqref="B9"/>
    </sheetView>
  </sheetViews>
  <sheetFormatPr defaultColWidth="9.1796875" defaultRowHeight="12.5" x14ac:dyDescent="0.25"/>
  <cols>
    <col min="1" max="1" width="10.81640625" style="36" bestFit="1" customWidth="1"/>
    <col min="2" max="2" width="12.81640625" style="36" bestFit="1" customWidth="1"/>
    <col min="3" max="3" width="15" style="36" bestFit="1" customWidth="1"/>
    <col min="4" max="4" width="17.6328125" style="36" customWidth="1"/>
    <col min="5" max="5" width="17.36328125" style="36" customWidth="1"/>
    <col min="6" max="6" width="16.81640625" style="36" customWidth="1"/>
    <col min="7" max="7" width="18.36328125" style="36" customWidth="1"/>
    <col min="8" max="8" width="21" style="36" customWidth="1"/>
    <col min="9" max="16384" width="9.1796875" style="36"/>
  </cols>
  <sheetData>
    <row r="1" spans="1:8" x14ac:dyDescent="0.25">
      <c r="A1" s="76" t="s">
        <v>673</v>
      </c>
      <c r="B1" s="76"/>
      <c r="C1" s="76"/>
      <c r="D1" s="76"/>
    </row>
    <row r="2" spans="1:8" ht="13" thickBot="1" x14ac:dyDescent="0.3">
      <c r="A2" s="78"/>
      <c r="B2" s="78"/>
      <c r="C2" s="78"/>
      <c r="D2" s="78"/>
    </row>
    <row r="3" spans="1:8" x14ac:dyDescent="0.25">
      <c r="A3" s="17" t="s">
        <v>1</v>
      </c>
      <c r="B3" s="7" t="s">
        <v>673</v>
      </c>
      <c r="C3" s="7" t="s">
        <v>3</v>
      </c>
      <c r="D3" s="9" t="s">
        <v>4</v>
      </c>
    </row>
    <row r="4" spans="1:8" x14ac:dyDescent="0.25">
      <c r="A4" s="19" t="s">
        <v>5</v>
      </c>
      <c r="B4" s="11" t="str">
        <f>IRCAD!B4</f>
        <v>eco2508</v>
      </c>
      <c r="C4" s="11" t="s">
        <v>6</v>
      </c>
      <c r="D4" s="13" t="s">
        <v>19</v>
      </c>
    </row>
    <row r="5" spans="1:8" ht="13" thickBot="1" x14ac:dyDescent="0.3">
      <c r="A5" s="19" t="s">
        <v>7</v>
      </c>
      <c r="B5" s="11" t="s">
        <v>8</v>
      </c>
      <c r="C5" s="30" t="s">
        <v>9</v>
      </c>
      <c r="D5" s="45"/>
    </row>
    <row r="6" spans="1:8" ht="13" thickBot="1" x14ac:dyDescent="0.3">
      <c r="A6" s="31" t="s">
        <v>663</v>
      </c>
      <c r="B6" s="21">
        <f>SessionDate</f>
        <v>40513</v>
      </c>
      <c r="C6" s="30"/>
      <c r="D6" s="16"/>
    </row>
    <row r="7" spans="1:8" x14ac:dyDescent="0.25">
      <c r="A7" s="5"/>
      <c r="B7" s="5"/>
      <c r="C7" s="5"/>
      <c r="D7" s="5"/>
    </row>
    <row r="8" spans="1:8" ht="13" thickBot="1" x14ac:dyDescent="0.3"/>
    <row r="9" spans="1:8" ht="13" x14ac:dyDescent="0.3">
      <c r="A9" s="12" t="s">
        <v>11</v>
      </c>
      <c r="B9" s="63" t="s">
        <v>725</v>
      </c>
      <c r="C9" s="1" t="s">
        <v>716</v>
      </c>
      <c r="D9" s="1" t="s">
        <v>717</v>
      </c>
      <c r="E9" s="1" t="s">
        <v>712</v>
      </c>
      <c r="F9" s="1" t="s">
        <v>713</v>
      </c>
      <c r="G9" s="1" t="s">
        <v>714</v>
      </c>
      <c r="H9" s="1" t="s">
        <v>715</v>
      </c>
    </row>
    <row r="10" spans="1:8" x14ac:dyDescent="0.25">
      <c r="A10" s="50">
        <v>1</v>
      </c>
      <c r="B10" s="52">
        <v>7.5000000000000002E-4</v>
      </c>
      <c r="C10" s="32">
        <v>2.0750000000000001E-2</v>
      </c>
      <c r="D10" s="36">
        <v>1E-4</v>
      </c>
      <c r="E10" s="36">
        <v>1E-4</v>
      </c>
      <c r="F10" s="36">
        <v>2.0732197878134958E-2</v>
      </c>
      <c r="G10" s="36">
        <v>2.5732882575129765E-2</v>
      </c>
      <c r="H10" s="36">
        <v>1E-4</v>
      </c>
    </row>
    <row r="11" spans="1:8" x14ac:dyDescent="0.25">
      <c r="A11" s="50">
        <v>7</v>
      </c>
      <c r="B11" s="52">
        <v>7.5000000000000002E-4</v>
      </c>
      <c r="C11" s="32">
        <v>2.0750000000000001E-2</v>
      </c>
      <c r="D11" s="36">
        <v>1E-4</v>
      </c>
      <c r="E11" s="36">
        <v>1E-4</v>
      </c>
      <c r="F11" s="36">
        <v>2.062564082528737E-2</v>
      </c>
      <c r="G11" s="36">
        <v>2.5630423870468624E-2</v>
      </c>
      <c r="H11" s="36">
        <v>1E-4</v>
      </c>
    </row>
    <row r="12" spans="1:8" x14ac:dyDescent="0.25">
      <c r="A12" s="50">
        <v>30</v>
      </c>
      <c r="B12" s="52">
        <v>2.3999999999999998E-3</v>
      </c>
      <c r="C12" s="32">
        <v>2.24E-2</v>
      </c>
      <c r="D12" s="36">
        <v>1E-4</v>
      </c>
      <c r="E12" s="36">
        <v>1E-4</v>
      </c>
      <c r="F12" s="36">
        <v>2.1871204856910451E-2</v>
      </c>
      <c r="G12" s="36">
        <v>2.6891543131644661E-2</v>
      </c>
      <c r="H12" s="36">
        <v>1E-4</v>
      </c>
    </row>
    <row r="13" spans="1:8" x14ac:dyDescent="0.25">
      <c r="A13" s="50">
        <v>91</v>
      </c>
      <c r="B13" s="52">
        <v>3.2799999999999999E-3</v>
      </c>
      <c r="C13" s="32">
        <v>2.3280000000000002E-2</v>
      </c>
      <c r="D13" s="36">
        <v>1E-4</v>
      </c>
      <c r="E13" s="36">
        <v>1E-4</v>
      </c>
      <c r="F13" s="36">
        <v>2.1708922309676353E-2</v>
      </c>
      <c r="G13" s="36">
        <v>2.6769348374688799E-2</v>
      </c>
      <c r="H13" s="36">
        <v>1E-4</v>
      </c>
    </row>
    <row r="14" spans="1:8" x14ac:dyDescent="0.25">
      <c r="A14" s="50">
        <v>182</v>
      </c>
      <c r="B14" s="52">
        <v>3.0500000000000002E-3</v>
      </c>
      <c r="C14" s="32">
        <v>2.3050000000000001E-2</v>
      </c>
      <c r="D14" s="36">
        <v>1E-4</v>
      </c>
      <c r="E14" s="36">
        <v>1E-4</v>
      </c>
      <c r="F14" s="36">
        <v>2.0002778662007809E-2</v>
      </c>
      <c r="G14" s="36">
        <v>2.5119979482699815E-2</v>
      </c>
      <c r="H14" s="36">
        <v>1E-4</v>
      </c>
    </row>
    <row r="15" spans="1:8" x14ac:dyDescent="0.25">
      <c r="A15" s="50">
        <v>365</v>
      </c>
      <c r="B15" s="52">
        <v>3.5400000000000002E-3</v>
      </c>
      <c r="C15" s="32">
        <v>2.3540000000000002E-2</v>
      </c>
      <c r="D15" s="36">
        <v>1E-4</v>
      </c>
      <c r="E15" s="36">
        <v>1E-4</v>
      </c>
      <c r="F15" s="36">
        <v>1.778882035985653E-2</v>
      </c>
      <c r="G15" s="36">
        <v>2.3010019576785123E-2</v>
      </c>
      <c r="H15" s="36">
        <v>1E-4</v>
      </c>
    </row>
    <row r="16" spans="1:8" x14ac:dyDescent="0.25">
      <c r="A16" s="50">
        <v>730</v>
      </c>
      <c r="B16" s="52">
        <v>5.7200000000000003E-3</v>
      </c>
      <c r="C16" s="32">
        <v>2.572E-2</v>
      </c>
      <c r="D16" s="36">
        <v>1E-4</v>
      </c>
      <c r="E16" s="36">
        <v>1E-4</v>
      </c>
      <c r="F16" s="36">
        <v>1.5489797152528469E-2</v>
      </c>
      <c r="G16" s="36">
        <v>2.0883266492815838E-2</v>
      </c>
      <c r="H16" s="36">
        <v>1E-4</v>
      </c>
    </row>
    <row r="17" spans="1:8" x14ac:dyDescent="0.25">
      <c r="A17" s="50">
        <v>1095</v>
      </c>
      <c r="B17" s="52">
        <v>7.1900000000000002E-3</v>
      </c>
      <c r="C17" s="32">
        <v>2.7189999999999999E-2</v>
      </c>
      <c r="D17" s="36">
        <v>1E-4</v>
      </c>
      <c r="E17" s="36">
        <v>4.2627445432893794E-3</v>
      </c>
      <c r="F17" s="36">
        <v>1.3471530371266383E-2</v>
      </c>
      <c r="G17" s="36">
        <v>1.8999163818525365E-2</v>
      </c>
      <c r="H17" s="36">
        <v>1E-4</v>
      </c>
    </row>
    <row r="18" spans="1:8" x14ac:dyDescent="0.25">
      <c r="A18" s="50">
        <v>1460</v>
      </c>
      <c r="B18" s="52">
        <v>9.5399999999999999E-3</v>
      </c>
      <c r="C18" s="32">
        <v>2.954E-2</v>
      </c>
      <c r="D18" s="36">
        <v>1E-4</v>
      </c>
      <c r="E18" s="36">
        <v>9.2510441104210802E-3</v>
      </c>
      <c r="F18" s="36">
        <v>1.3104865470457501E-2</v>
      </c>
      <c r="G18" s="36">
        <v>1.8736986029286057E-2</v>
      </c>
      <c r="H18" s="36">
        <v>3.4301397071394117E-4</v>
      </c>
    </row>
    <row r="19" spans="1:8" x14ac:dyDescent="0.25">
      <c r="A19" s="29">
        <v>1825</v>
      </c>
      <c r="B19" s="52">
        <v>1.204E-2</v>
      </c>
      <c r="C19" s="32">
        <v>3.2039999999999999E-2</v>
      </c>
      <c r="D19" s="36">
        <v>1E-4</v>
      </c>
      <c r="E19" s="36">
        <v>1.3805753879280201E-2</v>
      </c>
      <c r="F19" s="36">
        <v>1.3489124718364944E-2</v>
      </c>
      <c r="G19" s="36">
        <v>1.9202619921504752E-2</v>
      </c>
      <c r="H19" s="36">
        <v>4.8773800784952482E-3</v>
      </c>
    </row>
    <row r="20" spans="1:8" x14ac:dyDescent="0.25">
      <c r="A20" s="29">
        <v>2190</v>
      </c>
      <c r="B20" s="52">
        <v>1.431E-2</v>
      </c>
      <c r="C20" s="32">
        <v>3.431E-2</v>
      </c>
      <c r="D20" s="36">
        <v>1E-4</v>
      </c>
      <c r="E20" s="36">
        <v>1.7675963456252147E-2</v>
      </c>
      <c r="F20" s="36">
        <v>1.4111384163859176E-2</v>
      </c>
      <c r="G20" s="36">
        <v>1.9888254003710745E-2</v>
      </c>
      <c r="H20" s="36">
        <v>8.731745996289255E-3</v>
      </c>
    </row>
    <row r="21" spans="1:8" x14ac:dyDescent="0.25">
      <c r="A21" s="29">
        <v>2555</v>
      </c>
      <c r="B21" s="52">
        <v>1.6400000000000001E-2</v>
      </c>
      <c r="C21" s="32">
        <v>3.6400000000000002E-2</v>
      </c>
      <c r="D21" s="36">
        <v>1E-4</v>
      </c>
      <c r="E21" s="36">
        <v>2.1012207927876263E-2</v>
      </c>
      <c r="F21" s="36">
        <v>1.4918122529711576E-2</v>
      </c>
      <c r="G21" s="36">
        <v>2.0744348586261129E-2</v>
      </c>
      <c r="H21" s="36">
        <v>1.2055651413738874E-2</v>
      </c>
    </row>
    <row r="22" spans="1:8" x14ac:dyDescent="0.25">
      <c r="A22" s="50">
        <v>2920</v>
      </c>
      <c r="B22" s="52">
        <v>1.7909999999999999E-2</v>
      </c>
      <c r="C22" s="36">
        <v>3.7909999999999999E-2</v>
      </c>
      <c r="D22" s="36">
        <v>1E-4</v>
      </c>
      <c r="E22" s="36">
        <v>2.3492784098275529E-2</v>
      </c>
      <c r="F22" s="36">
        <v>1.5428717364151929E-2</v>
      </c>
      <c r="G22" s="36">
        <v>2.1293382080915316E-2</v>
      </c>
      <c r="H22" s="36">
        <v>1.4526617919084682E-2</v>
      </c>
    </row>
    <row r="23" spans="1:8" x14ac:dyDescent="0.25">
      <c r="A23" s="50">
        <v>3285</v>
      </c>
      <c r="B23" s="52">
        <v>1.9439999999999999E-2</v>
      </c>
      <c r="C23" s="36">
        <v>3.9440000000000003E-2</v>
      </c>
      <c r="D23" s="36">
        <v>1E-4</v>
      </c>
      <c r="E23" s="36">
        <v>2.5778669579812924E-2</v>
      </c>
      <c r="F23" s="36">
        <v>1.6180379838608473E-2</v>
      </c>
      <c r="G23" s="36">
        <v>2.2074980614046606E-2</v>
      </c>
      <c r="H23" s="36">
        <v>1.6805019385953392E-2</v>
      </c>
    </row>
    <row r="24" spans="1:8" x14ac:dyDescent="0.25">
      <c r="A24" s="50">
        <v>3650</v>
      </c>
      <c r="B24" s="52">
        <v>2.0729999999999998E-2</v>
      </c>
      <c r="C24" s="36">
        <v>4.0730000000000002E-2</v>
      </c>
      <c r="D24" s="36">
        <v>7.2999999999999801E-4</v>
      </c>
      <c r="E24" s="36">
        <v>2.7657353784746555E-2</v>
      </c>
      <c r="F24" s="36">
        <v>1.6864209964221367E-2</v>
      </c>
      <c r="G24" s="36">
        <v>2.2782124965597467E-2</v>
      </c>
      <c r="H24" s="36">
        <v>1.8677875034402529E-2</v>
      </c>
    </row>
    <row r="25" spans="1:8" x14ac:dyDescent="0.25">
      <c r="A25" s="50">
        <v>5475</v>
      </c>
      <c r="B25" s="52">
        <v>2.3699999999999999E-2</v>
      </c>
      <c r="C25" s="36">
        <v>4.3700000000000003E-2</v>
      </c>
      <c r="D25" s="36">
        <v>3.6999999999999984E-3</v>
      </c>
      <c r="E25" s="36">
        <v>3.210617691713577E-2</v>
      </c>
      <c r="F25" s="36">
        <v>1.8311461392256236E-2</v>
      </c>
      <c r="G25" s="36">
        <v>2.4287943646400228E-2</v>
      </c>
      <c r="H25" s="36">
        <v>2.311205635359977E-2</v>
      </c>
    </row>
    <row r="26" spans="1:8" x14ac:dyDescent="0.25">
      <c r="A26" s="50">
        <v>7300</v>
      </c>
      <c r="B26" s="52">
        <v>2.35E-2</v>
      </c>
      <c r="C26" s="36">
        <v>4.3499999999999997E-2</v>
      </c>
      <c r="D26" s="36">
        <v>3.4999999999999996E-3</v>
      </c>
      <c r="E26" s="36">
        <v>3.2329866838273089E-2</v>
      </c>
      <c r="F26" s="36">
        <v>1.7675186621976223E-2</v>
      </c>
      <c r="G26" s="36">
        <v>2.3668448674977138E-2</v>
      </c>
      <c r="H26" s="36">
        <v>2.3331551325022862E-2</v>
      </c>
    </row>
    <row r="27" spans="1:8" x14ac:dyDescent="0.25">
      <c r="A27" s="50">
        <v>10950</v>
      </c>
      <c r="B27" s="52">
        <v>2.3290000000000002E-2</v>
      </c>
      <c r="C27" s="36">
        <v>4.3290000000000002E-2</v>
      </c>
      <c r="D27" s="36">
        <v>3.2900000000000013E-3</v>
      </c>
      <c r="E27" s="36">
        <v>3.2276034619653768E-2</v>
      </c>
      <c r="F27" s="36">
        <v>1.7304380193623847E-2</v>
      </c>
      <c r="G27" s="36">
        <v>2.3303827109253699E-2</v>
      </c>
      <c r="H27" s="36">
        <v>2.3276172890746304E-2</v>
      </c>
    </row>
  </sheetData>
  <mergeCells count="1">
    <mergeCell ref="A1:D2"/>
  </mergeCells>
  <phoneticPr fontId="3" type="noConversion"/>
  <pageMargins left="0.7" right="0.7" top="0.75" bottom="0.75" header="0.3" footer="0.3"/>
  <pageSetup orientation="portrait" r:id="rId1"/>
  <headerFooter>
    <oddFooter>&amp;L&amp;1#&amp;"Calibri"&amp;10&amp;K000000Internal</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7"/>
  <dimension ref="A1:H27"/>
  <sheetViews>
    <sheetView workbookViewId="0">
      <selection activeCell="J31" sqref="J31"/>
    </sheetView>
  </sheetViews>
  <sheetFormatPr defaultColWidth="9.1796875" defaultRowHeight="12.5" x14ac:dyDescent="0.25"/>
  <cols>
    <col min="1" max="1" width="10.81640625" style="36" bestFit="1" customWidth="1"/>
    <col min="2" max="2" width="12.81640625" style="36" bestFit="1" customWidth="1"/>
    <col min="3" max="3" width="15" style="36" bestFit="1" customWidth="1"/>
    <col min="4" max="4" width="16.1796875" style="36" customWidth="1"/>
    <col min="5" max="5" width="15.81640625" style="36" customWidth="1"/>
    <col min="6" max="6" width="17.453125" style="36" customWidth="1"/>
    <col min="7" max="7" width="19.81640625" style="36" bestFit="1" customWidth="1"/>
    <col min="8" max="8" width="22.36328125" style="36" bestFit="1" customWidth="1"/>
    <col min="9" max="16384" width="9.1796875" style="36"/>
  </cols>
  <sheetData>
    <row r="1" spans="1:8" x14ac:dyDescent="0.25">
      <c r="A1" s="76" t="s">
        <v>675</v>
      </c>
      <c r="B1" s="76"/>
      <c r="C1" s="76"/>
      <c r="D1" s="76"/>
    </row>
    <row r="2" spans="1:8" ht="13" thickBot="1" x14ac:dyDescent="0.3">
      <c r="A2" s="78"/>
      <c r="B2" s="78"/>
      <c r="C2" s="78"/>
      <c r="D2" s="78"/>
    </row>
    <row r="3" spans="1:8" x14ac:dyDescent="0.25">
      <c r="A3" s="17" t="s">
        <v>1</v>
      </c>
      <c r="B3" s="7" t="s">
        <v>675</v>
      </c>
      <c r="C3" s="7" t="s">
        <v>3</v>
      </c>
      <c r="D3" s="9" t="s">
        <v>4</v>
      </c>
    </row>
    <row r="4" spans="1:8" x14ac:dyDescent="0.25">
      <c r="A4" s="19" t="s">
        <v>5</v>
      </c>
      <c r="B4" s="11" t="str">
        <f>IRCAD!B4</f>
        <v>eco2508</v>
      </c>
      <c r="C4" s="11" t="s">
        <v>6</v>
      </c>
      <c r="D4" s="13" t="s">
        <v>19</v>
      </c>
    </row>
    <row r="5" spans="1:8" ht="13" thickBot="1" x14ac:dyDescent="0.3">
      <c r="A5" s="19" t="s">
        <v>7</v>
      </c>
      <c r="B5" s="11" t="s">
        <v>8</v>
      </c>
      <c r="C5" s="30" t="s">
        <v>9</v>
      </c>
      <c r="D5" s="45"/>
    </row>
    <row r="6" spans="1:8" ht="13" thickBot="1" x14ac:dyDescent="0.3">
      <c r="A6" s="31" t="s">
        <v>663</v>
      </c>
      <c r="B6" s="21">
        <f>SessionDate</f>
        <v>40513</v>
      </c>
      <c r="C6" s="30"/>
      <c r="D6" s="16"/>
    </row>
    <row r="7" spans="1:8" x14ac:dyDescent="0.25">
      <c r="A7" s="5"/>
      <c r="B7" s="5"/>
      <c r="C7" s="5"/>
      <c r="D7" s="5"/>
    </row>
    <row r="8" spans="1:8" ht="13" thickBot="1" x14ac:dyDescent="0.3"/>
    <row r="9" spans="1:8" ht="13" x14ac:dyDescent="0.3">
      <c r="A9" s="12" t="s">
        <v>11</v>
      </c>
      <c r="B9" s="63" t="s">
        <v>725</v>
      </c>
      <c r="C9" s="1" t="s">
        <v>716</v>
      </c>
      <c r="D9" s="1" t="s">
        <v>717</v>
      </c>
      <c r="E9" s="1" t="s">
        <v>712</v>
      </c>
      <c r="F9" s="1" t="s">
        <v>713</v>
      </c>
      <c r="G9" s="1" t="s">
        <v>714</v>
      </c>
      <c r="H9" s="1" t="s">
        <v>715</v>
      </c>
    </row>
    <row r="10" spans="1:8" x14ac:dyDescent="0.25">
      <c r="A10" s="50">
        <v>1</v>
      </c>
      <c r="B10" s="52">
        <v>2.2100000000000002E-3</v>
      </c>
      <c r="C10" s="32">
        <v>3.2210000000000003E-2</v>
      </c>
      <c r="D10" s="36">
        <v>1E-4</v>
      </c>
      <c r="E10" s="36">
        <v>1E-4</v>
      </c>
      <c r="F10" s="36">
        <v>3.8177134544249147E-2</v>
      </c>
      <c r="G10" s="36">
        <v>4.7179188635233571E-2</v>
      </c>
      <c r="H10" s="36">
        <v>1E-4</v>
      </c>
    </row>
    <row r="11" spans="1:8" x14ac:dyDescent="0.25">
      <c r="A11" s="50">
        <v>7</v>
      </c>
      <c r="B11" s="52">
        <v>1.6999999999999999E-3</v>
      </c>
      <c r="C11" s="32">
        <v>3.1699999999999999E-2</v>
      </c>
      <c r="D11" s="36">
        <v>1E-4</v>
      </c>
      <c r="E11" s="36">
        <v>1E-4</v>
      </c>
      <c r="F11" s="36">
        <v>3.7470413831299752E-2</v>
      </c>
      <c r="G11" s="36">
        <v>4.6484762966843514E-2</v>
      </c>
      <c r="H11" s="36">
        <v>1E-4</v>
      </c>
    </row>
    <row r="12" spans="1:8" x14ac:dyDescent="0.25">
      <c r="A12" s="50">
        <v>30</v>
      </c>
      <c r="B12" s="52">
        <v>1.6999999999999999E-3</v>
      </c>
      <c r="C12" s="32">
        <v>3.1699999999999999E-2</v>
      </c>
      <c r="D12" s="36">
        <v>1E-4</v>
      </c>
      <c r="E12" s="36">
        <v>1E-4</v>
      </c>
      <c r="F12" s="36">
        <v>3.672376281275775E-2</v>
      </c>
      <c r="G12" s="36">
        <v>4.5784777636960386E-2</v>
      </c>
      <c r="H12" s="36">
        <v>1E-4</v>
      </c>
    </row>
    <row r="13" spans="1:8" x14ac:dyDescent="0.25">
      <c r="A13" s="50">
        <v>91</v>
      </c>
      <c r="B13" s="52">
        <v>2.2100000000000002E-3</v>
      </c>
      <c r="C13" s="32">
        <v>3.2210000000000003E-2</v>
      </c>
      <c r="D13" s="36">
        <v>1E-4</v>
      </c>
      <c r="E13" s="36">
        <v>1E-4</v>
      </c>
      <c r="F13" s="36">
        <v>3.5309548879402491E-2</v>
      </c>
      <c r="G13" s="36">
        <v>4.449082707443984E-2</v>
      </c>
      <c r="H13" s="36">
        <v>1E-4</v>
      </c>
    </row>
    <row r="14" spans="1:8" x14ac:dyDescent="0.25">
      <c r="A14" s="50">
        <v>182</v>
      </c>
      <c r="B14" s="52">
        <v>2.8600000000000001E-3</v>
      </c>
      <c r="C14" s="32">
        <v>3.286E-2</v>
      </c>
      <c r="D14" s="36">
        <v>1E-4</v>
      </c>
      <c r="E14" s="36">
        <v>1E-4</v>
      </c>
      <c r="F14" s="36">
        <v>3.3234360606783642E-2</v>
      </c>
      <c r="G14" s="36">
        <v>4.2585963068859665E-2</v>
      </c>
      <c r="H14" s="36">
        <v>1E-4</v>
      </c>
    </row>
    <row r="15" spans="1:8" x14ac:dyDescent="0.25">
      <c r="A15" s="50">
        <v>365</v>
      </c>
      <c r="B15" s="52">
        <v>3.5200000000000001E-3</v>
      </c>
      <c r="C15" s="32">
        <v>3.3520000000000001E-2</v>
      </c>
      <c r="D15" s="36">
        <v>1E-4</v>
      </c>
      <c r="E15" s="36">
        <v>1E-4</v>
      </c>
      <c r="F15" s="36">
        <v>2.8902437587427436E-2</v>
      </c>
      <c r="G15" s="36">
        <v>3.8566035238213225E-2</v>
      </c>
      <c r="H15" s="36">
        <v>1E-4</v>
      </c>
    </row>
    <row r="16" spans="1:8" x14ac:dyDescent="0.25">
      <c r="A16" s="50">
        <v>730</v>
      </c>
      <c r="B16" s="52">
        <v>5.9899999999999997E-3</v>
      </c>
      <c r="C16" s="32">
        <v>3.5990000000000001E-2</v>
      </c>
      <c r="D16" s="36">
        <v>1E-4</v>
      </c>
      <c r="E16" s="36">
        <v>1E-4</v>
      </c>
      <c r="F16" s="36">
        <v>2.3103471666206406E-2</v>
      </c>
      <c r="G16" s="36">
        <v>3.3283879687068509E-2</v>
      </c>
      <c r="H16" s="36">
        <v>1E-4</v>
      </c>
    </row>
    <row r="17" spans="1:8" x14ac:dyDescent="0.25">
      <c r="A17" s="50">
        <v>1095</v>
      </c>
      <c r="B17" s="52">
        <v>7.2300000000000003E-3</v>
      </c>
      <c r="C17" s="32">
        <v>3.7229999999999999E-2</v>
      </c>
      <c r="D17" s="36">
        <v>1E-4</v>
      </c>
      <c r="E17" s="36">
        <v>2.9106803829870567E-3</v>
      </c>
      <c r="F17" s="36">
        <v>1.7903594531568708E-2</v>
      </c>
      <c r="G17" s="36">
        <v>2.8486494873345661E-2</v>
      </c>
      <c r="H17" s="36">
        <v>1E-4</v>
      </c>
    </row>
    <row r="18" spans="1:8" x14ac:dyDescent="0.25">
      <c r="A18" s="50">
        <v>1460</v>
      </c>
      <c r="B18" s="52">
        <v>8.43E-3</v>
      </c>
      <c r="C18" s="32">
        <v>3.8429999999999999E-2</v>
      </c>
      <c r="D18" s="36">
        <v>1E-4</v>
      </c>
      <c r="E18" s="36">
        <v>9.0476964046493497E-3</v>
      </c>
      <c r="F18" s="36">
        <v>1.4088213176229233E-2</v>
      </c>
      <c r="G18" s="36">
        <v>2.4984574852714905E-2</v>
      </c>
      <c r="H18" s="36">
        <v>1E-4</v>
      </c>
    </row>
    <row r="19" spans="1:8" x14ac:dyDescent="0.25">
      <c r="A19" s="29">
        <v>1825</v>
      </c>
      <c r="B19" s="52">
        <v>9.6299999999999997E-3</v>
      </c>
      <c r="C19" s="32">
        <v>3.9629999999999999E-2</v>
      </c>
      <c r="D19" s="36">
        <v>1E-4</v>
      </c>
      <c r="E19" s="36">
        <v>1.4092648348356019E-2</v>
      </c>
      <c r="F19" s="36">
        <v>1.1382230249289124E-2</v>
      </c>
      <c r="G19" s="36">
        <v>2.2522715858708554E-2</v>
      </c>
      <c r="H19" s="36">
        <v>1E-4</v>
      </c>
    </row>
    <row r="20" spans="1:8" x14ac:dyDescent="0.25">
      <c r="A20" s="29">
        <v>2190</v>
      </c>
      <c r="B20" s="52">
        <v>1.06E-2</v>
      </c>
      <c r="C20" s="32">
        <v>4.0599999999999997E-2</v>
      </c>
      <c r="D20" s="36">
        <v>1E-4</v>
      </c>
      <c r="E20" s="36">
        <v>1.8057099932986691E-2</v>
      </c>
      <c r="F20" s="36">
        <v>9.3102476871246322E-3</v>
      </c>
      <c r="G20" s="36">
        <v>2.0640857206679339E-2</v>
      </c>
      <c r="H20" s="36">
        <v>5.5914279332065948E-4</v>
      </c>
    </row>
    <row r="21" spans="1:8" x14ac:dyDescent="0.25">
      <c r="A21" s="29">
        <v>2555</v>
      </c>
      <c r="B21" s="52">
        <v>1.157E-2</v>
      </c>
      <c r="C21" s="32">
        <v>4.1569999999999996E-2</v>
      </c>
      <c r="D21" s="36">
        <v>1E-4</v>
      </c>
      <c r="E21" s="36">
        <v>2.1359181171966467E-2</v>
      </c>
      <c r="F21" s="36">
        <v>7.9111492856213661E-3</v>
      </c>
      <c r="G21" s="36">
        <v>1.9389827455270032E-2</v>
      </c>
      <c r="H21" s="36">
        <v>3.750172544729969E-3</v>
      </c>
    </row>
    <row r="22" spans="1:8" x14ac:dyDescent="0.25">
      <c r="A22" s="50">
        <v>2920</v>
      </c>
      <c r="B22" s="52">
        <v>1.2409999999999999E-2</v>
      </c>
      <c r="C22" s="36">
        <v>4.2409999999999996E-2</v>
      </c>
      <c r="D22" s="36">
        <v>1E-4</v>
      </c>
      <c r="E22" s="36">
        <v>2.401540786707005E-2</v>
      </c>
      <c r="F22" s="36">
        <v>6.9060935953574095E-3</v>
      </c>
      <c r="G22" s="36">
        <v>1.850008774564757E-2</v>
      </c>
      <c r="H22" s="36">
        <v>6.3199122543524276E-3</v>
      </c>
    </row>
    <row r="23" spans="1:8" x14ac:dyDescent="0.25">
      <c r="A23" s="50">
        <v>3285</v>
      </c>
      <c r="B23" s="52">
        <v>1.3390000000000001E-2</v>
      </c>
      <c r="C23" s="36">
        <v>4.3389999999999998E-2</v>
      </c>
      <c r="D23" s="36">
        <v>1E-4</v>
      </c>
      <c r="E23" s="36">
        <v>2.6409886639451912E-2</v>
      </c>
      <c r="F23" s="36">
        <v>6.4491627789694892E-3</v>
      </c>
      <c r="G23" s="36">
        <v>1.8132965105283894E-2</v>
      </c>
      <c r="H23" s="36">
        <v>8.6470348947161064E-3</v>
      </c>
    </row>
    <row r="24" spans="1:8" x14ac:dyDescent="0.25">
      <c r="A24" s="50">
        <v>3650</v>
      </c>
      <c r="B24" s="52">
        <v>1.3950000000000001E-2</v>
      </c>
      <c r="C24" s="36">
        <v>4.3950000000000003E-2</v>
      </c>
      <c r="D24" s="36">
        <v>1E-4</v>
      </c>
      <c r="E24" s="36">
        <v>2.8071483815020781E-2</v>
      </c>
      <c r="F24" s="36">
        <v>5.8900799339471448E-3</v>
      </c>
      <c r="G24" s="36">
        <v>1.7643824938075446E-2</v>
      </c>
      <c r="H24" s="36">
        <v>1.0256175061924555E-2</v>
      </c>
    </row>
    <row r="25" spans="1:8" x14ac:dyDescent="0.25">
      <c r="A25" s="50">
        <v>5475</v>
      </c>
      <c r="B25" s="52">
        <v>1.6400000000000001E-2</v>
      </c>
      <c r="C25" s="36">
        <v>4.6399999999999997E-2</v>
      </c>
      <c r="D25" s="36">
        <v>1E-4</v>
      </c>
      <c r="E25" s="36">
        <v>3.3288786508303574E-2</v>
      </c>
      <c r="F25" s="36">
        <v>5.5288518010884382E-3</v>
      </c>
      <c r="G25" s="36">
        <v>1.7458298563520411E-2</v>
      </c>
      <c r="H25" s="36">
        <v>1.5341701436479591E-2</v>
      </c>
    </row>
    <row r="26" spans="1:8" x14ac:dyDescent="0.25">
      <c r="A26" s="50">
        <v>7300</v>
      </c>
      <c r="B26" s="52">
        <v>1.686E-2</v>
      </c>
      <c r="C26" s="36">
        <v>4.6859999999999999E-2</v>
      </c>
      <c r="D26" s="36">
        <v>1E-4</v>
      </c>
      <c r="E26" s="36">
        <v>3.4541632004293207E-2</v>
      </c>
      <c r="F26" s="36">
        <v>5.1834214559561033E-3</v>
      </c>
      <c r="G26" s="36">
        <v>1.7163207614958848E-2</v>
      </c>
      <c r="H26" s="36">
        <v>1.6556792385041152E-2</v>
      </c>
    </row>
    <row r="27" spans="1:8" x14ac:dyDescent="0.25">
      <c r="A27" s="50">
        <v>10950</v>
      </c>
      <c r="B27" s="52">
        <v>1.9140000000000001E-2</v>
      </c>
      <c r="C27" s="36">
        <v>4.9140000000000003E-2</v>
      </c>
      <c r="D27" s="36">
        <v>1E-4</v>
      </c>
      <c r="E27" s="36">
        <v>3.7113866763510514E-2</v>
      </c>
      <c r="F27" s="36">
        <v>7.1665480497670967E-3</v>
      </c>
      <c r="G27" s="36">
        <v>1.9164888796656652E-2</v>
      </c>
      <c r="H27" s="36">
        <v>1.911511120334335E-2</v>
      </c>
    </row>
  </sheetData>
  <mergeCells count="1">
    <mergeCell ref="A1:D2"/>
  </mergeCells>
  <phoneticPr fontId="3" type="noConversion"/>
  <pageMargins left="0.7" right="0.7" top="0.75" bottom="0.75" header="0.3" footer="0.3"/>
  <pageSetup orientation="portrait" r:id="rId1"/>
  <headerFooter>
    <oddFooter>&amp;L&amp;1#&amp;"Calibri"&amp;10&amp;K000000Internal</oddFoot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3"/>
  <dimension ref="A1:G19"/>
  <sheetViews>
    <sheetView workbookViewId="0">
      <selection activeCell="J25" sqref="J25"/>
    </sheetView>
  </sheetViews>
  <sheetFormatPr defaultColWidth="8.81640625" defaultRowHeight="12.5" x14ac:dyDescent="0.25"/>
  <cols>
    <col min="2" max="2" width="9.6328125" bestFit="1" customWidth="1"/>
    <col min="4" max="4" width="12.7265625" bestFit="1" customWidth="1"/>
  </cols>
  <sheetData>
    <row r="1" spans="1:7" ht="12.75" customHeight="1" x14ac:dyDescent="0.4">
      <c r="A1" s="79" t="s">
        <v>665</v>
      </c>
      <c r="B1" s="79"/>
      <c r="C1" s="44"/>
      <c r="D1" s="44"/>
      <c r="E1" s="44"/>
      <c r="F1" s="44"/>
      <c r="G1" s="44"/>
    </row>
    <row r="2" spans="1:7" ht="12.75" customHeight="1" x14ac:dyDescent="0.4">
      <c r="A2" s="80"/>
      <c r="B2" s="80"/>
      <c r="C2" s="44"/>
      <c r="D2" s="44"/>
      <c r="E2" s="44"/>
      <c r="F2" s="44"/>
      <c r="G2" s="44"/>
    </row>
    <row r="3" spans="1:7" ht="13" x14ac:dyDescent="0.3">
      <c r="A3" s="60" t="s">
        <v>666</v>
      </c>
      <c r="B3" s="37" t="s">
        <v>15</v>
      </c>
      <c r="C3" s="41"/>
      <c r="D3" s="41"/>
      <c r="E3" s="42"/>
      <c r="F3" s="42"/>
      <c r="G3" s="42"/>
    </row>
    <row r="4" spans="1:7" ht="13" x14ac:dyDescent="0.3">
      <c r="A4" s="12" t="s">
        <v>15</v>
      </c>
      <c r="B4" s="24">
        <v>1</v>
      </c>
      <c r="C4" s="43"/>
      <c r="D4" s="43"/>
      <c r="E4" s="43"/>
      <c r="F4" s="43"/>
      <c r="G4" s="43"/>
    </row>
    <row r="5" spans="1:7" ht="13" x14ac:dyDescent="0.3">
      <c r="A5" s="12" t="s">
        <v>372</v>
      </c>
      <c r="B5" s="62">
        <v>0.96852000000000005</v>
      </c>
      <c r="C5" s="5"/>
      <c r="D5" s="5"/>
      <c r="E5" s="5"/>
      <c r="F5" s="5"/>
      <c r="G5" s="5"/>
    </row>
    <row r="6" spans="1:7" ht="13" x14ac:dyDescent="0.3">
      <c r="A6" s="12" t="s">
        <v>63</v>
      </c>
      <c r="B6" s="62">
        <v>1.3595999999999999</v>
      </c>
      <c r="C6" s="5"/>
      <c r="D6" s="5"/>
      <c r="E6" s="5"/>
      <c r="F6" s="5"/>
      <c r="G6" s="5"/>
    </row>
    <row r="7" spans="1:7" ht="13" x14ac:dyDescent="0.3">
      <c r="A7" s="38" t="s">
        <v>297</v>
      </c>
      <c r="B7" s="62">
        <v>1.5831</v>
      </c>
      <c r="C7" s="36"/>
      <c r="E7" s="36"/>
      <c r="F7" s="36"/>
      <c r="G7" s="36"/>
    </row>
    <row r="8" spans="1:7" ht="13" x14ac:dyDescent="0.3">
      <c r="A8" s="38" t="s">
        <v>661</v>
      </c>
      <c r="B8" s="62">
        <v>0.12884999999999999</v>
      </c>
      <c r="C8" s="36"/>
      <c r="D8" s="36"/>
      <c r="E8" s="36"/>
      <c r="F8" s="36"/>
      <c r="G8" s="36"/>
    </row>
    <row r="9" spans="1:7" ht="13" x14ac:dyDescent="0.3">
      <c r="A9" s="38" t="s">
        <v>710</v>
      </c>
      <c r="B9" s="62">
        <v>3.2009999999999997E-2</v>
      </c>
      <c r="C9" s="36"/>
      <c r="D9" s="36"/>
      <c r="E9" s="36"/>
      <c r="F9" s="36"/>
      <c r="G9" s="36"/>
    </row>
    <row r="10" spans="1:7" s="52" customFormat="1" ht="13" x14ac:dyDescent="0.3">
      <c r="A10" s="38" t="s">
        <v>708</v>
      </c>
      <c r="B10" s="62">
        <v>8.6280000000000003E-3</v>
      </c>
    </row>
    <row r="11" spans="1:7" s="52" customFormat="1" ht="13" x14ac:dyDescent="0.3">
      <c r="A11" s="18"/>
      <c r="B11" s="5"/>
    </row>
    <row r="12" spans="1:7" x14ac:dyDescent="0.25">
      <c r="A12" s="36"/>
      <c r="B12" s="36"/>
      <c r="C12" s="36"/>
      <c r="D12" s="36"/>
      <c r="E12" s="36"/>
      <c r="F12" s="36"/>
      <c r="G12" s="36"/>
    </row>
    <row r="13" spans="1:7" ht="13" x14ac:dyDescent="0.3">
      <c r="A13" s="38" t="s">
        <v>667</v>
      </c>
      <c r="B13" s="11"/>
      <c r="C13" s="39" t="s">
        <v>16</v>
      </c>
      <c r="D13" s="40"/>
      <c r="E13" s="36"/>
      <c r="F13" s="36"/>
      <c r="G13" s="36"/>
    </row>
    <row r="14" spans="1:7" ht="13" x14ac:dyDescent="0.3">
      <c r="A14" s="38" t="s">
        <v>668</v>
      </c>
      <c r="B14" s="11"/>
      <c r="C14" s="39" t="s">
        <v>2</v>
      </c>
      <c r="D14" s="40"/>
      <c r="E14" s="36"/>
      <c r="F14" s="36"/>
      <c r="G14" s="36"/>
    </row>
    <row r="15" spans="1:7" ht="13" x14ac:dyDescent="0.3">
      <c r="A15" s="12" t="s">
        <v>669</v>
      </c>
      <c r="B15" s="11"/>
      <c r="C15" s="39" t="s">
        <v>662</v>
      </c>
      <c r="D15" s="40"/>
      <c r="E15" s="36"/>
      <c r="F15" s="36"/>
      <c r="G15" s="36"/>
    </row>
    <row r="16" spans="1:7" ht="13" x14ac:dyDescent="0.3">
      <c r="A16" s="12" t="s">
        <v>670</v>
      </c>
      <c r="B16" s="11"/>
      <c r="C16" s="39" t="s">
        <v>671</v>
      </c>
      <c r="D16" s="40"/>
      <c r="E16" s="36"/>
      <c r="F16" s="36"/>
      <c r="G16" s="36"/>
    </row>
    <row r="17" spans="1:7" ht="13" x14ac:dyDescent="0.3">
      <c r="A17" s="12" t="s">
        <v>672</v>
      </c>
      <c r="B17" s="11"/>
      <c r="C17" s="39" t="s">
        <v>673</v>
      </c>
      <c r="D17" s="40"/>
      <c r="E17" s="36"/>
      <c r="F17" s="36"/>
      <c r="G17" s="36"/>
    </row>
    <row r="18" spans="1:7" ht="13" x14ac:dyDescent="0.3">
      <c r="A18" s="12" t="s">
        <v>674</v>
      </c>
      <c r="B18" s="11"/>
      <c r="C18" s="39" t="s">
        <v>711</v>
      </c>
      <c r="D18" s="40"/>
      <c r="E18" s="36"/>
      <c r="F18" s="36"/>
      <c r="G18" s="36"/>
    </row>
    <row r="19" spans="1:7" ht="13" x14ac:dyDescent="0.3">
      <c r="A19" s="51" t="s">
        <v>709</v>
      </c>
      <c r="B19" s="50"/>
      <c r="C19" s="39" t="s">
        <v>676</v>
      </c>
      <c r="D19" s="36"/>
      <c r="E19" s="36"/>
      <c r="F19" s="36"/>
      <c r="G19" s="36"/>
    </row>
  </sheetData>
  <mergeCells count="1">
    <mergeCell ref="A1:B2"/>
  </mergeCells>
  <phoneticPr fontId="3" type="noConversion"/>
  <hyperlinks>
    <hyperlink ref="C13" location="IRUSD!A1" display="IRUSD" xr:uid="{00000000-0004-0000-0800-000000000000}"/>
    <hyperlink ref="C14" location="IRCAD!A1" display="IRCAD" xr:uid="{00000000-0004-0000-0800-000001000000}"/>
    <hyperlink ref="C15" location="IREUR!A1" display="IREUR" xr:uid="{00000000-0004-0000-0800-000002000000}"/>
    <hyperlink ref="C16" location="IRGBP!A1" display="IRGBP" xr:uid="{00000000-0004-0000-0800-000003000000}"/>
    <hyperlink ref="C17" location="IRHKD!A1" display="IRHKD" xr:uid="{00000000-0004-0000-0800-000004000000}"/>
    <hyperlink ref="C18" location="IRAUD!A1" display="IRAUD" xr:uid="{00000000-0004-0000-0800-000005000000}"/>
    <hyperlink ref="C19" location="IRJPY!A1" display="IRJPY" xr:uid="{C943EA89-75E0-DD4A-A75C-038FE40AF479}"/>
  </hyperlinks>
  <pageMargins left="0.7" right="0.7" top="0.75" bottom="0.75" header="0.3" footer="0.3"/>
  <pageSetup orientation="portrait" r:id="rId1"/>
  <headerFooter>
    <oddFooter>&amp;L&amp;1#&amp;"Calibri"&amp;10&amp;K000000Internal</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8">
    <tabColor rgb="FF92D050"/>
  </sheetPr>
  <dimension ref="A1:P266"/>
  <sheetViews>
    <sheetView workbookViewId="0">
      <pane ySplit="1" topLeftCell="A119" activePane="bottomLeft" state="frozen"/>
      <selection activeCell="B2" sqref="B2"/>
      <selection pane="bottomLeft" activeCell="A120" sqref="A120"/>
    </sheetView>
  </sheetViews>
  <sheetFormatPr defaultColWidth="21.6328125" defaultRowHeight="12.5" x14ac:dyDescent="0.25"/>
  <cols>
    <col min="1" max="1" width="35.1796875" style="36" customWidth="1"/>
    <col min="2" max="2" width="17.36328125" style="46" customWidth="1"/>
    <col min="3" max="3" width="12.36328125" style="46" bestFit="1" customWidth="1"/>
    <col min="4" max="4" width="19.453125" style="46" bestFit="1" customWidth="1"/>
    <col min="5" max="5" width="17" style="46" bestFit="1" customWidth="1"/>
    <col min="6" max="6" width="8.81640625" style="46" bestFit="1" customWidth="1"/>
    <col min="7" max="7" width="9.36328125" style="46" bestFit="1" customWidth="1"/>
    <col min="8" max="8" width="19" style="46" bestFit="1" customWidth="1"/>
    <col min="9" max="9" width="7.81640625" style="46" bestFit="1" customWidth="1"/>
    <col min="10" max="10" width="12.453125" style="36" customWidth="1"/>
    <col min="11" max="11" width="13.453125" style="46" bestFit="1" customWidth="1"/>
    <col min="12" max="12" width="21.6328125" style="36"/>
    <col min="13" max="13" width="15.36328125" style="46" bestFit="1" customWidth="1"/>
    <col min="14" max="14" width="14" style="46" bestFit="1" customWidth="1"/>
    <col min="15" max="15" width="8.6328125" style="46" bestFit="1" customWidth="1"/>
    <col min="16" max="241" width="21.6328125" style="36"/>
    <col min="242" max="242" width="61" style="36" bestFit="1" customWidth="1"/>
    <col min="243" max="243" width="84.453125" style="36" bestFit="1" customWidth="1"/>
    <col min="244" max="244" width="17.36328125" style="36" bestFit="1" customWidth="1"/>
    <col min="245" max="245" width="13.6328125" style="36" bestFit="1" customWidth="1"/>
    <col min="246" max="246" width="12.36328125" style="36" bestFit="1" customWidth="1"/>
    <col min="247" max="247" width="19.453125" style="36" bestFit="1" customWidth="1"/>
    <col min="248" max="248" width="12.453125" style="36" bestFit="1" customWidth="1"/>
    <col min="249" max="249" width="15.453125" style="36" bestFit="1" customWidth="1"/>
    <col min="250" max="250" width="16.36328125" style="36" bestFit="1" customWidth="1"/>
    <col min="251" max="251" width="19" style="36" bestFit="1" customWidth="1"/>
    <col min="252" max="252" width="6" style="36" bestFit="1" customWidth="1"/>
    <col min="253" max="253" width="17" style="36" bestFit="1" customWidth="1"/>
    <col min="254" max="254" width="8.81640625" style="36" bestFit="1" customWidth="1"/>
    <col min="255" max="255" width="19.1796875" style="36" bestFit="1" customWidth="1"/>
    <col min="256" max="256" width="13.453125" style="36" bestFit="1" customWidth="1"/>
    <col min="257" max="257" width="25" style="36" bestFit="1" customWidth="1"/>
    <col min="258" max="258" width="21.1796875" style="36" bestFit="1" customWidth="1"/>
    <col min="259" max="259" width="41.1796875" style="36" bestFit="1" customWidth="1"/>
    <col min="260" max="260" width="9.36328125" style="36" bestFit="1" customWidth="1"/>
    <col min="261" max="261" width="19" style="36" bestFit="1" customWidth="1"/>
    <col min="262" max="262" width="7.81640625" style="36" bestFit="1" customWidth="1"/>
    <col min="263" max="263" width="17.453125" style="36" bestFit="1" customWidth="1"/>
    <col min="264" max="497" width="21.6328125" style="36"/>
    <col min="498" max="498" width="61" style="36" bestFit="1" customWidth="1"/>
    <col min="499" max="499" width="84.453125" style="36" bestFit="1" customWidth="1"/>
    <col min="500" max="500" width="17.36328125" style="36" bestFit="1" customWidth="1"/>
    <col min="501" max="501" width="13.6328125" style="36" bestFit="1" customWidth="1"/>
    <col min="502" max="502" width="12.36328125" style="36" bestFit="1" customWidth="1"/>
    <col min="503" max="503" width="19.453125" style="36" bestFit="1" customWidth="1"/>
    <col min="504" max="504" width="12.453125" style="36" bestFit="1" customWidth="1"/>
    <col min="505" max="505" width="15.453125" style="36" bestFit="1" customWidth="1"/>
    <col min="506" max="506" width="16.36328125" style="36" bestFit="1" customWidth="1"/>
    <col min="507" max="507" width="19" style="36" bestFit="1" customWidth="1"/>
    <col min="508" max="508" width="6" style="36" bestFit="1" customWidth="1"/>
    <col min="509" max="509" width="17" style="36" bestFit="1" customWidth="1"/>
    <col min="510" max="510" width="8.81640625" style="36" bestFit="1" customWidth="1"/>
    <col min="511" max="511" width="19.1796875" style="36" bestFit="1" customWidth="1"/>
    <col min="512" max="512" width="13.453125" style="36" bestFit="1" customWidth="1"/>
    <col min="513" max="513" width="25" style="36" bestFit="1" customWidth="1"/>
    <col min="514" max="514" width="21.1796875" style="36" bestFit="1" customWidth="1"/>
    <col min="515" max="515" width="41.1796875" style="36" bestFit="1" customWidth="1"/>
    <col min="516" max="516" width="9.36328125" style="36" bestFit="1" customWidth="1"/>
    <col min="517" max="517" width="19" style="36" bestFit="1" customWidth="1"/>
    <col min="518" max="518" width="7.81640625" style="36" bestFit="1" customWidth="1"/>
    <col min="519" max="519" width="17.453125" style="36" bestFit="1" customWidth="1"/>
    <col min="520" max="753" width="21.6328125" style="36"/>
    <col min="754" max="754" width="61" style="36" bestFit="1" customWidth="1"/>
    <col min="755" max="755" width="84.453125" style="36" bestFit="1" customWidth="1"/>
    <col min="756" max="756" width="17.36328125" style="36" bestFit="1" customWidth="1"/>
    <col min="757" max="757" width="13.6328125" style="36" bestFit="1" customWidth="1"/>
    <col min="758" max="758" width="12.36328125" style="36" bestFit="1" customWidth="1"/>
    <col min="759" max="759" width="19.453125" style="36" bestFit="1" customWidth="1"/>
    <col min="760" max="760" width="12.453125" style="36" bestFit="1" customWidth="1"/>
    <col min="761" max="761" width="15.453125" style="36" bestFit="1" customWidth="1"/>
    <col min="762" max="762" width="16.36328125" style="36" bestFit="1" customWidth="1"/>
    <col min="763" max="763" width="19" style="36" bestFit="1" customWidth="1"/>
    <col min="764" max="764" width="6" style="36" bestFit="1" customWidth="1"/>
    <col min="765" max="765" width="17" style="36" bestFit="1" customWidth="1"/>
    <col min="766" max="766" width="8.81640625" style="36" bestFit="1" customWidth="1"/>
    <col min="767" max="767" width="19.1796875" style="36" bestFit="1" customWidth="1"/>
    <col min="768" max="768" width="13.453125" style="36" bestFit="1" customWidth="1"/>
    <col min="769" max="769" width="25" style="36" bestFit="1" customWidth="1"/>
    <col min="770" max="770" width="21.1796875" style="36" bestFit="1" customWidth="1"/>
    <col min="771" max="771" width="41.1796875" style="36" bestFit="1" customWidth="1"/>
    <col min="772" max="772" width="9.36328125" style="36" bestFit="1" customWidth="1"/>
    <col min="773" max="773" width="19" style="36" bestFit="1" customWidth="1"/>
    <col min="774" max="774" width="7.81640625" style="36" bestFit="1" customWidth="1"/>
    <col min="775" max="775" width="17.453125" style="36" bestFit="1" customWidth="1"/>
    <col min="776" max="1009" width="21.6328125" style="36"/>
    <col min="1010" max="1010" width="61" style="36" bestFit="1" customWidth="1"/>
    <col min="1011" max="1011" width="84.453125" style="36" bestFit="1" customWidth="1"/>
    <col min="1012" max="1012" width="17.36328125" style="36" bestFit="1" customWidth="1"/>
    <col min="1013" max="1013" width="13.6328125" style="36" bestFit="1" customWidth="1"/>
    <col min="1014" max="1014" width="12.36328125" style="36" bestFit="1" customWidth="1"/>
    <col min="1015" max="1015" width="19.453125" style="36" bestFit="1" customWidth="1"/>
    <col min="1016" max="1016" width="12.453125" style="36" bestFit="1" customWidth="1"/>
    <col min="1017" max="1017" width="15.453125" style="36" bestFit="1" customWidth="1"/>
    <col min="1018" max="1018" width="16.36328125" style="36" bestFit="1" customWidth="1"/>
    <col min="1019" max="1019" width="19" style="36" bestFit="1" customWidth="1"/>
    <col min="1020" max="1020" width="6" style="36" bestFit="1" customWidth="1"/>
    <col min="1021" max="1021" width="17" style="36" bestFit="1" customWidth="1"/>
    <col min="1022" max="1022" width="8.81640625" style="36" bestFit="1" customWidth="1"/>
    <col min="1023" max="1023" width="19.1796875" style="36" bestFit="1" customWidth="1"/>
    <col min="1024" max="1024" width="13.453125" style="36" bestFit="1" customWidth="1"/>
    <col min="1025" max="1025" width="25" style="36" bestFit="1" customWidth="1"/>
    <col min="1026" max="1026" width="21.1796875" style="36" bestFit="1" customWidth="1"/>
    <col min="1027" max="1027" width="41.1796875" style="36" bestFit="1" customWidth="1"/>
    <col min="1028" max="1028" width="9.36328125" style="36" bestFit="1" customWidth="1"/>
    <col min="1029" max="1029" width="19" style="36" bestFit="1" customWidth="1"/>
    <col min="1030" max="1030" width="7.81640625" style="36" bestFit="1" customWidth="1"/>
    <col min="1031" max="1031" width="17.453125" style="36" bestFit="1" customWidth="1"/>
    <col min="1032" max="1265" width="21.6328125" style="36"/>
    <col min="1266" max="1266" width="61" style="36" bestFit="1" customWidth="1"/>
    <col min="1267" max="1267" width="84.453125" style="36" bestFit="1" customWidth="1"/>
    <col min="1268" max="1268" width="17.36328125" style="36" bestFit="1" customWidth="1"/>
    <col min="1269" max="1269" width="13.6328125" style="36" bestFit="1" customWidth="1"/>
    <col min="1270" max="1270" width="12.36328125" style="36" bestFit="1" customWidth="1"/>
    <col min="1271" max="1271" width="19.453125" style="36" bestFit="1" customWidth="1"/>
    <col min="1272" max="1272" width="12.453125" style="36" bestFit="1" customWidth="1"/>
    <col min="1273" max="1273" width="15.453125" style="36" bestFit="1" customWidth="1"/>
    <col min="1274" max="1274" width="16.36328125" style="36" bestFit="1" customWidth="1"/>
    <col min="1275" max="1275" width="19" style="36" bestFit="1" customWidth="1"/>
    <col min="1276" max="1276" width="6" style="36" bestFit="1" customWidth="1"/>
    <col min="1277" max="1277" width="17" style="36" bestFit="1" customWidth="1"/>
    <col min="1278" max="1278" width="8.81640625" style="36" bestFit="1" customWidth="1"/>
    <col min="1279" max="1279" width="19.1796875" style="36" bestFit="1" customWidth="1"/>
    <col min="1280" max="1280" width="13.453125" style="36" bestFit="1" customWidth="1"/>
    <col min="1281" max="1281" width="25" style="36" bestFit="1" customWidth="1"/>
    <col min="1282" max="1282" width="21.1796875" style="36" bestFit="1" customWidth="1"/>
    <col min="1283" max="1283" width="41.1796875" style="36" bestFit="1" customWidth="1"/>
    <col min="1284" max="1284" width="9.36328125" style="36" bestFit="1" customWidth="1"/>
    <col min="1285" max="1285" width="19" style="36" bestFit="1" customWidth="1"/>
    <col min="1286" max="1286" width="7.81640625" style="36" bestFit="1" customWidth="1"/>
    <col min="1287" max="1287" width="17.453125" style="36" bestFit="1" customWidth="1"/>
    <col min="1288" max="1521" width="21.6328125" style="36"/>
    <col min="1522" max="1522" width="61" style="36" bestFit="1" customWidth="1"/>
    <col min="1523" max="1523" width="84.453125" style="36" bestFit="1" customWidth="1"/>
    <col min="1524" max="1524" width="17.36328125" style="36" bestFit="1" customWidth="1"/>
    <col min="1525" max="1525" width="13.6328125" style="36" bestFit="1" customWidth="1"/>
    <col min="1526" max="1526" width="12.36328125" style="36" bestFit="1" customWidth="1"/>
    <col min="1527" max="1527" width="19.453125" style="36" bestFit="1" customWidth="1"/>
    <col min="1528" max="1528" width="12.453125" style="36" bestFit="1" customWidth="1"/>
    <col min="1529" max="1529" width="15.453125" style="36" bestFit="1" customWidth="1"/>
    <col min="1530" max="1530" width="16.36328125" style="36" bestFit="1" customWidth="1"/>
    <col min="1531" max="1531" width="19" style="36" bestFit="1" customWidth="1"/>
    <col min="1532" max="1532" width="6" style="36" bestFit="1" customWidth="1"/>
    <col min="1533" max="1533" width="17" style="36" bestFit="1" customWidth="1"/>
    <col min="1534" max="1534" width="8.81640625" style="36" bestFit="1" customWidth="1"/>
    <col min="1535" max="1535" width="19.1796875" style="36" bestFit="1" customWidth="1"/>
    <col min="1536" max="1536" width="13.453125" style="36" bestFit="1" customWidth="1"/>
    <col min="1537" max="1537" width="25" style="36" bestFit="1" customWidth="1"/>
    <col min="1538" max="1538" width="21.1796875" style="36" bestFit="1" customWidth="1"/>
    <col min="1539" max="1539" width="41.1796875" style="36" bestFit="1" customWidth="1"/>
    <col min="1540" max="1540" width="9.36328125" style="36" bestFit="1" customWidth="1"/>
    <col min="1541" max="1541" width="19" style="36" bestFit="1" customWidth="1"/>
    <col min="1542" max="1542" width="7.81640625" style="36" bestFit="1" customWidth="1"/>
    <col min="1543" max="1543" width="17.453125" style="36" bestFit="1" customWidth="1"/>
    <col min="1544" max="1777" width="21.6328125" style="36"/>
    <col min="1778" max="1778" width="61" style="36" bestFit="1" customWidth="1"/>
    <col min="1779" max="1779" width="84.453125" style="36" bestFit="1" customWidth="1"/>
    <col min="1780" max="1780" width="17.36328125" style="36" bestFit="1" customWidth="1"/>
    <col min="1781" max="1781" width="13.6328125" style="36" bestFit="1" customWidth="1"/>
    <col min="1782" max="1782" width="12.36328125" style="36" bestFit="1" customWidth="1"/>
    <col min="1783" max="1783" width="19.453125" style="36" bestFit="1" customWidth="1"/>
    <col min="1784" max="1784" width="12.453125" style="36" bestFit="1" customWidth="1"/>
    <col min="1785" max="1785" width="15.453125" style="36" bestFit="1" customWidth="1"/>
    <col min="1786" max="1786" width="16.36328125" style="36" bestFit="1" customWidth="1"/>
    <col min="1787" max="1787" width="19" style="36" bestFit="1" customWidth="1"/>
    <col min="1788" max="1788" width="6" style="36" bestFit="1" customWidth="1"/>
    <col min="1789" max="1789" width="17" style="36" bestFit="1" customWidth="1"/>
    <col min="1790" max="1790" width="8.81640625" style="36" bestFit="1" customWidth="1"/>
    <col min="1791" max="1791" width="19.1796875" style="36" bestFit="1" customWidth="1"/>
    <col min="1792" max="1792" width="13.453125" style="36" bestFit="1" customWidth="1"/>
    <col min="1793" max="1793" width="25" style="36" bestFit="1" customWidth="1"/>
    <col min="1794" max="1794" width="21.1796875" style="36" bestFit="1" customWidth="1"/>
    <col min="1795" max="1795" width="41.1796875" style="36" bestFit="1" customWidth="1"/>
    <col min="1796" max="1796" width="9.36328125" style="36" bestFit="1" customWidth="1"/>
    <col min="1797" max="1797" width="19" style="36" bestFit="1" customWidth="1"/>
    <col min="1798" max="1798" width="7.81640625" style="36" bestFit="1" customWidth="1"/>
    <col min="1799" max="1799" width="17.453125" style="36" bestFit="1" customWidth="1"/>
    <col min="1800" max="2033" width="21.6328125" style="36"/>
    <col min="2034" max="2034" width="61" style="36" bestFit="1" customWidth="1"/>
    <col min="2035" max="2035" width="84.453125" style="36" bestFit="1" customWidth="1"/>
    <col min="2036" max="2036" width="17.36328125" style="36" bestFit="1" customWidth="1"/>
    <col min="2037" max="2037" width="13.6328125" style="36" bestFit="1" customWidth="1"/>
    <col min="2038" max="2038" width="12.36328125" style="36" bestFit="1" customWidth="1"/>
    <col min="2039" max="2039" width="19.453125" style="36" bestFit="1" customWidth="1"/>
    <col min="2040" max="2040" width="12.453125" style="36" bestFit="1" customWidth="1"/>
    <col min="2041" max="2041" width="15.453125" style="36" bestFit="1" customWidth="1"/>
    <col min="2042" max="2042" width="16.36328125" style="36" bestFit="1" customWidth="1"/>
    <col min="2043" max="2043" width="19" style="36" bestFit="1" customWidth="1"/>
    <col min="2044" max="2044" width="6" style="36" bestFit="1" customWidth="1"/>
    <col min="2045" max="2045" width="17" style="36" bestFit="1" customWidth="1"/>
    <col min="2046" max="2046" width="8.81640625" style="36" bestFit="1" customWidth="1"/>
    <col min="2047" max="2047" width="19.1796875" style="36" bestFit="1" customWidth="1"/>
    <col min="2048" max="2048" width="13.453125" style="36" bestFit="1" customWidth="1"/>
    <col min="2049" max="2049" width="25" style="36" bestFit="1" customWidth="1"/>
    <col min="2050" max="2050" width="21.1796875" style="36" bestFit="1" customWidth="1"/>
    <col min="2051" max="2051" width="41.1796875" style="36" bestFit="1" customWidth="1"/>
    <col min="2052" max="2052" width="9.36328125" style="36" bestFit="1" customWidth="1"/>
    <col min="2053" max="2053" width="19" style="36" bestFit="1" customWidth="1"/>
    <col min="2054" max="2054" width="7.81640625" style="36" bestFit="1" customWidth="1"/>
    <col min="2055" max="2055" width="17.453125" style="36" bestFit="1" customWidth="1"/>
    <col min="2056" max="2289" width="21.6328125" style="36"/>
    <col min="2290" max="2290" width="61" style="36" bestFit="1" customWidth="1"/>
    <col min="2291" max="2291" width="84.453125" style="36" bestFit="1" customWidth="1"/>
    <col min="2292" max="2292" width="17.36328125" style="36" bestFit="1" customWidth="1"/>
    <col min="2293" max="2293" width="13.6328125" style="36" bestFit="1" customWidth="1"/>
    <col min="2294" max="2294" width="12.36328125" style="36" bestFit="1" customWidth="1"/>
    <col min="2295" max="2295" width="19.453125" style="36" bestFit="1" customWidth="1"/>
    <col min="2296" max="2296" width="12.453125" style="36" bestFit="1" customWidth="1"/>
    <col min="2297" max="2297" width="15.453125" style="36" bestFit="1" customWidth="1"/>
    <col min="2298" max="2298" width="16.36328125" style="36" bestFit="1" customWidth="1"/>
    <col min="2299" max="2299" width="19" style="36" bestFit="1" customWidth="1"/>
    <col min="2300" max="2300" width="6" style="36" bestFit="1" customWidth="1"/>
    <col min="2301" max="2301" width="17" style="36" bestFit="1" customWidth="1"/>
    <col min="2302" max="2302" width="8.81640625" style="36" bestFit="1" customWidth="1"/>
    <col min="2303" max="2303" width="19.1796875" style="36" bestFit="1" customWidth="1"/>
    <col min="2304" max="2304" width="13.453125" style="36" bestFit="1" customWidth="1"/>
    <col min="2305" max="2305" width="25" style="36" bestFit="1" customWidth="1"/>
    <col min="2306" max="2306" width="21.1796875" style="36" bestFit="1" customWidth="1"/>
    <col min="2307" max="2307" width="41.1796875" style="36" bestFit="1" customWidth="1"/>
    <col min="2308" max="2308" width="9.36328125" style="36" bestFit="1" customWidth="1"/>
    <col min="2309" max="2309" width="19" style="36" bestFit="1" customWidth="1"/>
    <col min="2310" max="2310" width="7.81640625" style="36" bestFit="1" customWidth="1"/>
    <col min="2311" max="2311" width="17.453125" style="36" bestFit="1" customWidth="1"/>
    <col min="2312" max="2545" width="21.6328125" style="36"/>
    <col min="2546" max="2546" width="61" style="36" bestFit="1" customWidth="1"/>
    <col min="2547" max="2547" width="84.453125" style="36" bestFit="1" customWidth="1"/>
    <col min="2548" max="2548" width="17.36328125" style="36" bestFit="1" customWidth="1"/>
    <col min="2549" max="2549" width="13.6328125" style="36" bestFit="1" customWidth="1"/>
    <col min="2550" max="2550" width="12.36328125" style="36" bestFit="1" customWidth="1"/>
    <col min="2551" max="2551" width="19.453125" style="36" bestFit="1" customWidth="1"/>
    <col min="2552" max="2552" width="12.453125" style="36" bestFit="1" customWidth="1"/>
    <col min="2553" max="2553" width="15.453125" style="36" bestFit="1" customWidth="1"/>
    <col min="2554" max="2554" width="16.36328125" style="36" bestFit="1" customWidth="1"/>
    <col min="2555" max="2555" width="19" style="36" bestFit="1" customWidth="1"/>
    <col min="2556" max="2556" width="6" style="36" bestFit="1" customWidth="1"/>
    <col min="2557" max="2557" width="17" style="36" bestFit="1" customWidth="1"/>
    <col min="2558" max="2558" width="8.81640625" style="36" bestFit="1" customWidth="1"/>
    <col min="2559" max="2559" width="19.1796875" style="36" bestFit="1" customWidth="1"/>
    <col min="2560" max="2560" width="13.453125" style="36" bestFit="1" customWidth="1"/>
    <col min="2561" max="2561" width="25" style="36" bestFit="1" customWidth="1"/>
    <col min="2562" max="2562" width="21.1796875" style="36" bestFit="1" customWidth="1"/>
    <col min="2563" max="2563" width="41.1796875" style="36" bestFit="1" customWidth="1"/>
    <col min="2564" max="2564" width="9.36328125" style="36" bestFit="1" customWidth="1"/>
    <col min="2565" max="2565" width="19" style="36" bestFit="1" customWidth="1"/>
    <col min="2566" max="2566" width="7.81640625" style="36" bestFit="1" customWidth="1"/>
    <col min="2567" max="2567" width="17.453125" style="36" bestFit="1" customWidth="1"/>
    <col min="2568" max="2801" width="21.6328125" style="36"/>
    <col min="2802" max="2802" width="61" style="36" bestFit="1" customWidth="1"/>
    <col min="2803" max="2803" width="84.453125" style="36" bestFit="1" customWidth="1"/>
    <col min="2804" max="2804" width="17.36328125" style="36" bestFit="1" customWidth="1"/>
    <col min="2805" max="2805" width="13.6328125" style="36" bestFit="1" customWidth="1"/>
    <col min="2806" max="2806" width="12.36328125" style="36" bestFit="1" customWidth="1"/>
    <col min="2807" max="2807" width="19.453125" style="36" bestFit="1" customWidth="1"/>
    <col min="2808" max="2808" width="12.453125" style="36" bestFit="1" customWidth="1"/>
    <col min="2809" max="2809" width="15.453125" style="36" bestFit="1" customWidth="1"/>
    <col min="2810" max="2810" width="16.36328125" style="36" bestFit="1" customWidth="1"/>
    <col min="2811" max="2811" width="19" style="36" bestFit="1" customWidth="1"/>
    <col min="2812" max="2812" width="6" style="36" bestFit="1" customWidth="1"/>
    <col min="2813" max="2813" width="17" style="36" bestFit="1" customWidth="1"/>
    <col min="2814" max="2814" width="8.81640625" style="36" bestFit="1" customWidth="1"/>
    <col min="2815" max="2815" width="19.1796875" style="36" bestFit="1" customWidth="1"/>
    <col min="2816" max="2816" width="13.453125" style="36" bestFit="1" customWidth="1"/>
    <col min="2817" max="2817" width="25" style="36" bestFit="1" customWidth="1"/>
    <col min="2818" max="2818" width="21.1796875" style="36" bestFit="1" customWidth="1"/>
    <col min="2819" max="2819" width="41.1796875" style="36" bestFit="1" customWidth="1"/>
    <col min="2820" max="2820" width="9.36328125" style="36" bestFit="1" customWidth="1"/>
    <col min="2821" max="2821" width="19" style="36" bestFit="1" customWidth="1"/>
    <col min="2822" max="2822" width="7.81640625" style="36" bestFit="1" customWidth="1"/>
    <col min="2823" max="2823" width="17.453125" style="36" bestFit="1" customWidth="1"/>
    <col min="2824" max="3057" width="21.6328125" style="36"/>
    <col min="3058" max="3058" width="61" style="36" bestFit="1" customWidth="1"/>
    <col min="3059" max="3059" width="84.453125" style="36" bestFit="1" customWidth="1"/>
    <col min="3060" max="3060" width="17.36328125" style="36" bestFit="1" customWidth="1"/>
    <col min="3061" max="3061" width="13.6328125" style="36" bestFit="1" customWidth="1"/>
    <col min="3062" max="3062" width="12.36328125" style="36" bestFit="1" customWidth="1"/>
    <col min="3063" max="3063" width="19.453125" style="36" bestFit="1" customWidth="1"/>
    <col min="3064" max="3064" width="12.453125" style="36" bestFit="1" customWidth="1"/>
    <col min="3065" max="3065" width="15.453125" style="36" bestFit="1" customWidth="1"/>
    <col min="3066" max="3066" width="16.36328125" style="36" bestFit="1" customWidth="1"/>
    <col min="3067" max="3067" width="19" style="36" bestFit="1" customWidth="1"/>
    <col min="3068" max="3068" width="6" style="36" bestFit="1" customWidth="1"/>
    <col min="3069" max="3069" width="17" style="36" bestFit="1" customWidth="1"/>
    <col min="3070" max="3070" width="8.81640625" style="36" bestFit="1" customWidth="1"/>
    <col min="3071" max="3071" width="19.1796875" style="36" bestFit="1" customWidth="1"/>
    <col min="3072" max="3072" width="13.453125" style="36" bestFit="1" customWidth="1"/>
    <col min="3073" max="3073" width="25" style="36" bestFit="1" customWidth="1"/>
    <col min="3074" max="3074" width="21.1796875" style="36" bestFit="1" customWidth="1"/>
    <col min="3075" max="3075" width="41.1796875" style="36" bestFit="1" customWidth="1"/>
    <col min="3076" max="3076" width="9.36328125" style="36" bestFit="1" customWidth="1"/>
    <col min="3077" max="3077" width="19" style="36" bestFit="1" customWidth="1"/>
    <col min="3078" max="3078" width="7.81640625" style="36" bestFit="1" customWidth="1"/>
    <col min="3079" max="3079" width="17.453125" style="36" bestFit="1" customWidth="1"/>
    <col min="3080" max="3313" width="21.6328125" style="36"/>
    <col min="3314" max="3314" width="61" style="36" bestFit="1" customWidth="1"/>
    <col min="3315" max="3315" width="84.453125" style="36" bestFit="1" customWidth="1"/>
    <col min="3316" max="3316" width="17.36328125" style="36" bestFit="1" customWidth="1"/>
    <col min="3317" max="3317" width="13.6328125" style="36" bestFit="1" customWidth="1"/>
    <col min="3318" max="3318" width="12.36328125" style="36" bestFit="1" customWidth="1"/>
    <col min="3319" max="3319" width="19.453125" style="36" bestFit="1" customWidth="1"/>
    <col min="3320" max="3320" width="12.453125" style="36" bestFit="1" customWidth="1"/>
    <col min="3321" max="3321" width="15.453125" style="36" bestFit="1" customWidth="1"/>
    <col min="3322" max="3322" width="16.36328125" style="36" bestFit="1" customWidth="1"/>
    <col min="3323" max="3323" width="19" style="36" bestFit="1" customWidth="1"/>
    <col min="3324" max="3324" width="6" style="36" bestFit="1" customWidth="1"/>
    <col min="3325" max="3325" width="17" style="36" bestFit="1" customWidth="1"/>
    <col min="3326" max="3326" width="8.81640625" style="36" bestFit="1" customWidth="1"/>
    <col min="3327" max="3327" width="19.1796875" style="36" bestFit="1" customWidth="1"/>
    <col min="3328" max="3328" width="13.453125" style="36" bestFit="1" customWidth="1"/>
    <col min="3329" max="3329" width="25" style="36" bestFit="1" customWidth="1"/>
    <col min="3330" max="3330" width="21.1796875" style="36" bestFit="1" customWidth="1"/>
    <col min="3331" max="3331" width="41.1796875" style="36" bestFit="1" customWidth="1"/>
    <col min="3332" max="3332" width="9.36328125" style="36" bestFit="1" customWidth="1"/>
    <col min="3333" max="3333" width="19" style="36" bestFit="1" customWidth="1"/>
    <col min="3334" max="3334" width="7.81640625" style="36" bestFit="1" customWidth="1"/>
    <col min="3335" max="3335" width="17.453125" style="36" bestFit="1" customWidth="1"/>
    <col min="3336" max="3569" width="21.6328125" style="36"/>
    <col min="3570" max="3570" width="61" style="36" bestFit="1" customWidth="1"/>
    <col min="3571" max="3571" width="84.453125" style="36" bestFit="1" customWidth="1"/>
    <col min="3572" max="3572" width="17.36328125" style="36" bestFit="1" customWidth="1"/>
    <col min="3573" max="3573" width="13.6328125" style="36" bestFit="1" customWidth="1"/>
    <col min="3574" max="3574" width="12.36328125" style="36" bestFit="1" customWidth="1"/>
    <col min="3575" max="3575" width="19.453125" style="36" bestFit="1" customWidth="1"/>
    <col min="3576" max="3576" width="12.453125" style="36" bestFit="1" customWidth="1"/>
    <col min="3577" max="3577" width="15.453125" style="36" bestFit="1" customWidth="1"/>
    <col min="3578" max="3578" width="16.36328125" style="36" bestFit="1" customWidth="1"/>
    <col min="3579" max="3579" width="19" style="36" bestFit="1" customWidth="1"/>
    <col min="3580" max="3580" width="6" style="36" bestFit="1" customWidth="1"/>
    <col min="3581" max="3581" width="17" style="36" bestFit="1" customWidth="1"/>
    <col min="3582" max="3582" width="8.81640625" style="36" bestFit="1" customWidth="1"/>
    <col min="3583" max="3583" width="19.1796875" style="36" bestFit="1" customWidth="1"/>
    <col min="3584" max="3584" width="13.453125" style="36" bestFit="1" customWidth="1"/>
    <col min="3585" max="3585" width="25" style="36" bestFit="1" customWidth="1"/>
    <col min="3586" max="3586" width="21.1796875" style="36" bestFit="1" customWidth="1"/>
    <col min="3587" max="3587" width="41.1796875" style="36" bestFit="1" customWidth="1"/>
    <col min="3588" max="3588" width="9.36328125" style="36" bestFit="1" customWidth="1"/>
    <col min="3589" max="3589" width="19" style="36" bestFit="1" customWidth="1"/>
    <col min="3590" max="3590" width="7.81640625" style="36" bestFit="1" customWidth="1"/>
    <col min="3591" max="3591" width="17.453125" style="36" bestFit="1" customWidth="1"/>
    <col min="3592" max="3825" width="21.6328125" style="36"/>
    <col min="3826" max="3826" width="61" style="36" bestFit="1" customWidth="1"/>
    <col min="3827" max="3827" width="84.453125" style="36" bestFit="1" customWidth="1"/>
    <col min="3828" max="3828" width="17.36328125" style="36" bestFit="1" customWidth="1"/>
    <col min="3829" max="3829" width="13.6328125" style="36" bestFit="1" customWidth="1"/>
    <col min="3830" max="3830" width="12.36328125" style="36" bestFit="1" customWidth="1"/>
    <col min="3831" max="3831" width="19.453125" style="36" bestFit="1" customWidth="1"/>
    <col min="3832" max="3832" width="12.453125" style="36" bestFit="1" customWidth="1"/>
    <col min="3833" max="3833" width="15.453125" style="36" bestFit="1" customWidth="1"/>
    <col min="3834" max="3834" width="16.36328125" style="36" bestFit="1" customWidth="1"/>
    <col min="3835" max="3835" width="19" style="36" bestFit="1" customWidth="1"/>
    <col min="3836" max="3836" width="6" style="36" bestFit="1" customWidth="1"/>
    <col min="3837" max="3837" width="17" style="36" bestFit="1" customWidth="1"/>
    <col min="3838" max="3838" width="8.81640625" style="36" bestFit="1" customWidth="1"/>
    <col min="3839" max="3839" width="19.1796875" style="36" bestFit="1" customWidth="1"/>
    <col min="3840" max="3840" width="13.453125" style="36" bestFit="1" customWidth="1"/>
    <col min="3841" max="3841" width="25" style="36" bestFit="1" customWidth="1"/>
    <col min="3842" max="3842" width="21.1796875" style="36" bestFit="1" customWidth="1"/>
    <col min="3843" max="3843" width="41.1796875" style="36" bestFit="1" customWidth="1"/>
    <col min="3844" max="3844" width="9.36328125" style="36" bestFit="1" customWidth="1"/>
    <col min="3845" max="3845" width="19" style="36" bestFit="1" customWidth="1"/>
    <col min="3846" max="3846" width="7.81640625" style="36" bestFit="1" customWidth="1"/>
    <col min="3847" max="3847" width="17.453125" style="36" bestFit="1" customWidth="1"/>
    <col min="3848" max="4081" width="21.6328125" style="36"/>
    <col min="4082" max="4082" width="61" style="36" bestFit="1" customWidth="1"/>
    <col min="4083" max="4083" width="84.453125" style="36" bestFit="1" customWidth="1"/>
    <col min="4084" max="4084" width="17.36328125" style="36" bestFit="1" customWidth="1"/>
    <col min="4085" max="4085" width="13.6328125" style="36" bestFit="1" customWidth="1"/>
    <col min="4086" max="4086" width="12.36328125" style="36" bestFit="1" customWidth="1"/>
    <col min="4087" max="4087" width="19.453125" style="36" bestFit="1" customWidth="1"/>
    <col min="4088" max="4088" width="12.453125" style="36" bestFit="1" customWidth="1"/>
    <col min="4089" max="4089" width="15.453125" style="36" bestFit="1" customWidth="1"/>
    <col min="4090" max="4090" width="16.36328125" style="36" bestFit="1" customWidth="1"/>
    <col min="4091" max="4091" width="19" style="36" bestFit="1" customWidth="1"/>
    <col min="4092" max="4092" width="6" style="36" bestFit="1" customWidth="1"/>
    <col min="4093" max="4093" width="17" style="36" bestFit="1" customWidth="1"/>
    <col min="4094" max="4094" width="8.81640625" style="36" bestFit="1" customWidth="1"/>
    <col min="4095" max="4095" width="19.1796875" style="36" bestFit="1" customWidth="1"/>
    <col min="4096" max="4096" width="13.453125" style="36" bestFit="1" customWidth="1"/>
    <col min="4097" max="4097" width="25" style="36" bestFit="1" customWidth="1"/>
    <col min="4098" max="4098" width="21.1796875" style="36" bestFit="1" customWidth="1"/>
    <col min="4099" max="4099" width="41.1796875" style="36" bestFit="1" customWidth="1"/>
    <col min="4100" max="4100" width="9.36328125" style="36" bestFit="1" customWidth="1"/>
    <col min="4101" max="4101" width="19" style="36" bestFit="1" customWidth="1"/>
    <col min="4102" max="4102" width="7.81640625" style="36" bestFit="1" customWidth="1"/>
    <col min="4103" max="4103" width="17.453125" style="36" bestFit="1" customWidth="1"/>
    <col min="4104" max="4337" width="21.6328125" style="36"/>
    <col min="4338" max="4338" width="61" style="36" bestFit="1" customWidth="1"/>
    <col min="4339" max="4339" width="84.453125" style="36" bestFit="1" customWidth="1"/>
    <col min="4340" max="4340" width="17.36328125" style="36" bestFit="1" customWidth="1"/>
    <col min="4341" max="4341" width="13.6328125" style="36" bestFit="1" customWidth="1"/>
    <col min="4342" max="4342" width="12.36328125" style="36" bestFit="1" customWidth="1"/>
    <col min="4343" max="4343" width="19.453125" style="36" bestFit="1" customWidth="1"/>
    <col min="4344" max="4344" width="12.453125" style="36" bestFit="1" customWidth="1"/>
    <col min="4345" max="4345" width="15.453125" style="36" bestFit="1" customWidth="1"/>
    <col min="4346" max="4346" width="16.36328125" style="36" bestFit="1" customWidth="1"/>
    <col min="4347" max="4347" width="19" style="36" bestFit="1" customWidth="1"/>
    <col min="4348" max="4348" width="6" style="36" bestFit="1" customWidth="1"/>
    <col min="4349" max="4349" width="17" style="36" bestFit="1" customWidth="1"/>
    <col min="4350" max="4350" width="8.81640625" style="36" bestFit="1" customWidth="1"/>
    <col min="4351" max="4351" width="19.1796875" style="36" bestFit="1" customWidth="1"/>
    <col min="4352" max="4352" width="13.453125" style="36" bestFit="1" customWidth="1"/>
    <col min="4353" max="4353" width="25" style="36" bestFit="1" customWidth="1"/>
    <col min="4354" max="4354" width="21.1796875" style="36" bestFit="1" customWidth="1"/>
    <col min="4355" max="4355" width="41.1796875" style="36" bestFit="1" customWidth="1"/>
    <col min="4356" max="4356" width="9.36328125" style="36" bestFit="1" customWidth="1"/>
    <col min="4357" max="4357" width="19" style="36" bestFit="1" customWidth="1"/>
    <col min="4358" max="4358" width="7.81640625" style="36" bestFit="1" customWidth="1"/>
    <col min="4359" max="4359" width="17.453125" style="36" bestFit="1" customWidth="1"/>
    <col min="4360" max="4593" width="21.6328125" style="36"/>
    <col min="4594" max="4594" width="61" style="36" bestFit="1" customWidth="1"/>
    <col min="4595" max="4595" width="84.453125" style="36" bestFit="1" customWidth="1"/>
    <col min="4596" max="4596" width="17.36328125" style="36" bestFit="1" customWidth="1"/>
    <col min="4597" max="4597" width="13.6328125" style="36" bestFit="1" customWidth="1"/>
    <col min="4598" max="4598" width="12.36328125" style="36" bestFit="1" customWidth="1"/>
    <col min="4599" max="4599" width="19.453125" style="36" bestFit="1" customWidth="1"/>
    <col min="4600" max="4600" width="12.453125" style="36" bestFit="1" customWidth="1"/>
    <col min="4601" max="4601" width="15.453125" style="36" bestFit="1" customWidth="1"/>
    <col min="4602" max="4602" width="16.36328125" style="36" bestFit="1" customWidth="1"/>
    <col min="4603" max="4603" width="19" style="36" bestFit="1" customWidth="1"/>
    <col min="4604" max="4604" width="6" style="36" bestFit="1" customWidth="1"/>
    <col min="4605" max="4605" width="17" style="36" bestFit="1" customWidth="1"/>
    <col min="4606" max="4606" width="8.81640625" style="36" bestFit="1" customWidth="1"/>
    <col min="4607" max="4607" width="19.1796875" style="36" bestFit="1" customWidth="1"/>
    <col min="4608" max="4608" width="13.453125" style="36" bestFit="1" customWidth="1"/>
    <col min="4609" max="4609" width="25" style="36" bestFit="1" customWidth="1"/>
    <col min="4610" max="4610" width="21.1796875" style="36" bestFit="1" customWidth="1"/>
    <col min="4611" max="4611" width="41.1796875" style="36" bestFit="1" customWidth="1"/>
    <col min="4612" max="4612" width="9.36328125" style="36" bestFit="1" customWidth="1"/>
    <col min="4613" max="4613" width="19" style="36" bestFit="1" customWidth="1"/>
    <col min="4614" max="4614" width="7.81640625" style="36" bestFit="1" customWidth="1"/>
    <col min="4615" max="4615" width="17.453125" style="36" bestFit="1" customWidth="1"/>
    <col min="4616" max="4849" width="21.6328125" style="36"/>
    <col min="4850" max="4850" width="61" style="36" bestFit="1" customWidth="1"/>
    <col min="4851" max="4851" width="84.453125" style="36" bestFit="1" customWidth="1"/>
    <col min="4852" max="4852" width="17.36328125" style="36" bestFit="1" customWidth="1"/>
    <col min="4853" max="4853" width="13.6328125" style="36" bestFit="1" customWidth="1"/>
    <col min="4854" max="4854" width="12.36328125" style="36" bestFit="1" customWidth="1"/>
    <col min="4855" max="4855" width="19.453125" style="36" bestFit="1" customWidth="1"/>
    <col min="4856" max="4856" width="12.453125" style="36" bestFit="1" customWidth="1"/>
    <col min="4857" max="4857" width="15.453125" style="36" bestFit="1" customWidth="1"/>
    <col min="4858" max="4858" width="16.36328125" style="36" bestFit="1" customWidth="1"/>
    <col min="4859" max="4859" width="19" style="36" bestFit="1" customWidth="1"/>
    <col min="4860" max="4860" width="6" style="36" bestFit="1" customWidth="1"/>
    <col min="4861" max="4861" width="17" style="36" bestFit="1" customWidth="1"/>
    <col min="4862" max="4862" width="8.81640625" style="36" bestFit="1" customWidth="1"/>
    <col min="4863" max="4863" width="19.1796875" style="36" bestFit="1" customWidth="1"/>
    <col min="4864" max="4864" width="13.453125" style="36" bestFit="1" customWidth="1"/>
    <col min="4865" max="4865" width="25" style="36" bestFit="1" customWidth="1"/>
    <col min="4866" max="4866" width="21.1796875" style="36" bestFit="1" customWidth="1"/>
    <col min="4867" max="4867" width="41.1796875" style="36" bestFit="1" customWidth="1"/>
    <col min="4868" max="4868" width="9.36328125" style="36" bestFit="1" customWidth="1"/>
    <col min="4869" max="4869" width="19" style="36" bestFit="1" customWidth="1"/>
    <col min="4870" max="4870" width="7.81640625" style="36" bestFit="1" customWidth="1"/>
    <col min="4871" max="4871" width="17.453125" style="36" bestFit="1" customWidth="1"/>
    <col min="4872" max="5105" width="21.6328125" style="36"/>
    <col min="5106" max="5106" width="61" style="36" bestFit="1" customWidth="1"/>
    <col min="5107" max="5107" width="84.453125" style="36" bestFit="1" customWidth="1"/>
    <col min="5108" max="5108" width="17.36328125" style="36" bestFit="1" customWidth="1"/>
    <col min="5109" max="5109" width="13.6328125" style="36" bestFit="1" customWidth="1"/>
    <col min="5110" max="5110" width="12.36328125" style="36" bestFit="1" customWidth="1"/>
    <col min="5111" max="5111" width="19.453125" style="36" bestFit="1" customWidth="1"/>
    <col min="5112" max="5112" width="12.453125" style="36" bestFit="1" customWidth="1"/>
    <col min="5113" max="5113" width="15.453125" style="36" bestFit="1" customWidth="1"/>
    <col min="5114" max="5114" width="16.36328125" style="36" bestFit="1" customWidth="1"/>
    <col min="5115" max="5115" width="19" style="36" bestFit="1" customWidth="1"/>
    <col min="5116" max="5116" width="6" style="36" bestFit="1" customWidth="1"/>
    <col min="5117" max="5117" width="17" style="36" bestFit="1" customWidth="1"/>
    <col min="5118" max="5118" width="8.81640625" style="36" bestFit="1" customWidth="1"/>
    <col min="5119" max="5119" width="19.1796875" style="36" bestFit="1" customWidth="1"/>
    <col min="5120" max="5120" width="13.453125" style="36" bestFit="1" customWidth="1"/>
    <col min="5121" max="5121" width="25" style="36" bestFit="1" customWidth="1"/>
    <col min="5122" max="5122" width="21.1796875" style="36" bestFit="1" customWidth="1"/>
    <col min="5123" max="5123" width="41.1796875" style="36" bestFit="1" customWidth="1"/>
    <col min="5124" max="5124" width="9.36328125" style="36" bestFit="1" customWidth="1"/>
    <col min="5125" max="5125" width="19" style="36" bestFit="1" customWidth="1"/>
    <col min="5126" max="5126" width="7.81640625" style="36" bestFit="1" customWidth="1"/>
    <col min="5127" max="5127" width="17.453125" style="36" bestFit="1" customWidth="1"/>
    <col min="5128" max="5361" width="21.6328125" style="36"/>
    <col min="5362" max="5362" width="61" style="36" bestFit="1" customWidth="1"/>
    <col min="5363" max="5363" width="84.453125" style="36" bestFit="1" customWidth="1"/>
    <col min="5364" max="5364" width="17.36328125" style="36" bestFit="1" customWidth="1"/>
    <col min="5365" max="5365" width="13.6328125" style="36" bestFit="1" customWidth="1"/>
    <col min="5366" max="5366" width="12.36328125" style="36" bestFit="1" customWidth="1"/>
    <col min="5367" max="5367" width="19.453125" style="36" bestFit="1" customWidth="1"/>
    <col min="5368" max="5368" width="12.453125" style="36" bestFit="1" customWidth="1"/>
    <col min="5369" max="5369" width="15.453125" style="36" bestFit="1" customWidth="1"/>
    <col min="5370" max="5370" width="16.36328125" style="36" bestFit="1" customWidth="1"/>
    <col min="5371" max="5371" width="19" style="36" bestFit="1" customWidth="1"/>
    <col min="5372" max="5372" width="6" style="36" bestFit="1" customWidth="1"/>
    <col min="5373" max="5373" width="17" style="36" bestFit="1" customWidth="1"/>
    <col min="5374" max="5374" width="8.81640625" style="36" bestFit="1" customWidth="1"/>
    <col min="5375" max="5375" width="19.1796875" style="36" bestFit="1" customWidth="1"/>
    <col min="5376" max="5376" width="13.453125" style="36" bestFit="1" customWidth="1"/>
    <col min="5377" max="5377" width="25" style="36" bestFit="1" customWidth="1"/>
    <col min="5378" max="5378" width="21.1796875" style="36" bestFit="1" customWidth="1"/>
    <col min="5379" max="5379" width="41.1796875" style="36" bestFit="1" customWidth="1"/>
    <col min="5380" max="5380" width="9.36328125" style="36" bestFit="1" customWidth="1"/>
    <col min="5381" max="5381" width="19" style="36" bestFit="1" customWidth="1"/>
    <col min="5382" max="5382" width="7.81640625" style="36" bestFit="1" customWidth="1"/>
    <col min="5383" max="5383" width="17.453125" style="36" bestFit="1" customWidth="1"/>
    <col min="5384" max="5617" width="21.6328125" style="36"/>
    <col min="5618" max="5618" width="61" style="36" bestFit="1" customWidth="1"/>
    <col min="5619" max="5619" width="84.453125" style="36" bestFit="1" customWidth="1"/>
    <col min="5620" max="5620" width="17.36328125" style="36" bestFit="1" customWidth="1"/>
    <col min="5621" max="5621" width="13.6328125" style="36" bestFit="1" customWidth="1"/>
    <col min="5622" max="5622" width="12.36328125" style="36" bestFit="1" customWidth="1"/>
    <col min="5623" max="5623" width="19.453125" style="36" bestFit="1" customWidth="1"/>
    <col min="5624" max="5624" width="12.453125" style="36" bestFit="1" customWidth="1"/>
    <col min="5625" max="5625" width="15.453125" style="36" bestFit="1" customWidth="1"/>
    <col min="5626" max="5626" width="16.36328125" style="36" bestFit="1" customWidth="1"/>
    <col min="5627" max="5627" width="19" style="36" bestFit="1" customWidth="1"/>
    <col min="5628" max="5628" width="6" style="36" bestFit="1" customWidth="1"/>
    <col min="5629" max="5629" width="17" style="36" bestFit="1" customWidth="1"/>
    <col min="5630" max="5630" width="8.81640625" style="36" bestFit="1" customWidth="1"/>
    <col min="5631" max="5631" width="19.1796875" style="36" bestFit="1" customWidth="1"/>
    <col min="5632" max="5632" width="13.453125" style="36" bestFit="1" customWidth="1"/>
    <col min="5633" max="5633" width="25" style="36" bestFit="1" customWidth="1"/>
    <col min="5634" max="5634" width="21.1796875" style="36" bestFit="1" customWidth="1"/>
    <col min="5635" max="5635" width="41.1796875" style="36" bestFit="1" customWidth="1"/>
    <col min="5636" max="5636" width="9.36328125" style="36" bestFit="1" customWidth="1"/>
    <col min="5637" max="5637" width="19" style="36" bestFit="1" customWidth="1"/>
    <col min="5638" max="5638" width="7.81640625" style="36" bestFit="1" customWidth="1"/>
    <col min="5639" max="5639" width="17.453125" style="36" bestFit="1" customWidth="1"/>
    <col min="5640" max="5873" width="21.6328125" style="36"/>
    <col min="5874" max="5874" width="61" style="36" bestFit="1" customWidth="1"/>
    <col min="5875" max="5875" width="84.453125" style="36" bestFit="1" customWidth="1"/>
    <col min="5876" max="5876" width="17.36328125" style="36" bestFit="1" customWidth="1"/>
    <col min="5877" max="5877" width="13.6328125" style="36" bestFit="1" customWidth="1"/>
    <col min="5878" max="5878" width="12.36328125" style="36" bestFit="1" customWidth="1"/>
    <col min="5879" max="5879" width="19.453125" style="36" bestFit="1" customWidth="1"/>
    <col min="5880" max="5880" width="12.453125" style="36" bestFit="1" customWidth="1"/>
    <col min="5881" max="5881" width="15.453125" style="36" bestFit="1" customWidth="1"/>
    <col min="5882" max="5882" width="16.36328125" style="36" bestFit="1" customWidth="1"/>
    <col min="5883" max="5883" width="19" style="36" bestFit="1" customWidth="1"/>
    <col min="5884" max="5884" width="6" style="36" bestFit="1" customWidth="1"/>
    <col min="5885" max="5885" width="17" style="36" bestFit="1" customWidth="1"/>
    <col min="5886" max="5886" width="8.81640625" style="36" bestFit="1" customWidth="1"/>
    <col min="5887" max="5887" width="19.1796875" style="36" bestFit="1" customWidth="1"/>
    <col min="5888" max="5888" width="13.453125" style="36" bestFit="1" customWidth="1"/>
    <col min="5889" max="5889" width="25" style="36" bestFit="1" customWidth="1"/>
    <col min="5890" max="5890" width="21.1796875" style="36" bestFit="1" customWidth="1"/>
    <col min="5891" max="5891" width="41.1796875" style="36" bestFit="1" customWidth="1"/>
    <col min="5892" max="5892" width="9.36328125" style="36" bestFit="1" customWidth="1"/>
    <col min="5893" max="5893" width="19" style="36" bestFit="1" customWidth="1"/>
    <col min="5894" max="5894" width="7.81640625" style="36" bestFit="1" customWidth="1"/>
    <col min="5895" max="5895" width="17.453125" style="36" bestFit="1" customWidth="1"/>
    <col min="5896" max="6129" width="21.6328125" style="36"/>
    <col min="6130" max="6130" width="61" style="36" bestFit="1" customWidth="1"/>
    <col min="6131" max="6131" width="84.453125" style="36" bestFit="1" customWidth="1"/>
    <col min="6132" max="6132" width="17.36328125" style="36" bestFit="1" customWidth="1"/>
    <col min="6133" max="6133" width="13.6328125" style="36" bestFit="1" customWidth="1"/>
    <col min="6134" max="6134" width="12.36328125" style="36" bestFit="1" customWidth="1"/>
    <col min="6135" max="6135" width="19.453125" style="36" bestFit="1" customWidth="1"/>
    <col min="6136" max="6136" width="12.453125" style="36" bestFit="1" customWidth="1"/>
    <col min="6137" max="6137" width="15.453125" style="36" bestFit="1" customWidth="1"/>
    <col min="6138" max="6138" width="16.36328125" style="36" bestFit="1" customWidth="1"/>
    <col min="6139" max="6139" width="19" style="36" bestFit="1" customWidth="1"/>
    <col min="6140" max="6140" width="6" style="36" bestFit="1" customWidth="1"/>
    <col min="6141" max="6141" width="17" style="36" bestFit="1" customWidth="1"/>
    <col min="6142" max="6142" width="8.81640625" style="36" bestFit="1" customWidth="1"/>
    <col min="6143" max="6143" width="19.1796875" style="36" bestFit="1" customWidth="1"/>
    <col min="6144" max="6144" width="13.453125" style="36" bestFit="1" customWidth="1"/>
    <col min="6145" max="6145" width="25" style="36" bestFit="1" customWidth="1"/>
    <col min="6146" max="6146" width="21.1796875" style="36" bestFit="1" customWidth="1"/>
    <col min="6147" max="6147" width="41.1796875" style="36" bestFit="1" customWidth="1"/>
    <col min="6148" max="6148" width="9.36328125" style="36" bestFit="1" customWidth="1"/>
    <col min="6149" max="6149" width="19" style="36" bestFit="1" customWidth="1"/>
    <col min="6150" max="6150" width="7.81640625" style="36" bestFit="1" customWidth="1"/>
    <col min="6151" max="6151" width="17.453125" style="36" bestFit="1" customWidth="1"/>
    <col min="6152" max="6385" width="21.6328125" style="36"/>
    <col min="6386" max="6386" width="61" style="36" bestFit="1" customWidth="1"/>
    <col min="6387" max="6387" width="84.453125" style="36" bestFit="1" customWidth="1"/>
    <col min="6388" max="6388" width="17.36328125" style="36" bestFit="1" customWidth="1"/>
    <col min="6389" max="6389" width="13.6328125" style="36" bestFit="1" customWidth="1"/>
    <col min="6390" max="6390" width="12.36328125" style="36" bestFit="1" customWidth="1"/>
    <col min="6391" max="6391" width="19.453125" style="36" bestFit="1" customWidth="1"/>
    <col min="6392" max="6392" width="12.453125" style="36" bestFit="1" customWidth="1"/>
    <col min="6393" max="6393" width="15.453125" style="36" bestFit="1" customWidth="1"/>
    <col min="6394" max="6394" width="16.36328125" style="36" bestFit="1" customWidth="1"/>
    <col min="6395" max="6395" width="19" style="36" bestFit="1" customWidth="1"/>
    <col min="6396" max="6396" width="6" style="36" bestFit="1" customWidth="1"/>
    <col min="6397" max="6397" width="17" style="36" bestFit="1" customWidth="1"/>
    <col min="6398" max="6398" width="8.81640625" style="36" bestFit="1" customWidth="1"/>
    <col min="6399" max="6399" width="19.1796875" style="36" bestFit="1" customWidth="1"/>
    <col min="6400" max="6400" width="13.453125" style="36" bestFit="1" customWidth="1"/>
    <col min="6401" max="6401" width="25" style="36" bestFit="1" customWidth="1"/>
    <col min="6402" max="6402" width="21.1796875" style="36" bestFit="1" customWidth="1"/>
    <col min="6403" max="6403" width="41.1796875" style="36" bestFit="1" customWidth="1"/>
    <col min="6404" max="6404" width="9.36328125" style="36" bestFit="1" customWidth="1"/>
    <col min="6405" max="6405" width="19" style="36" bestFit="1" customWidth="1"/>
    <col min="6406" max="6406" width="7.81640625" style="36" bestFit="1" customWidth="1"/>
    <col min="6407" max="6407" width="17.453125" style="36" bestFit="1" customWidth="1"/>
    <col min="6408" max="6641" width="21.6328125" style="36"/>
    <col min="6642" max="6642" width="61" style="36" bestFit="1" customWidth="1"/>
    <col min="6643" max="6643" width="84.453125" style="36" bestFit="1" customWidth="1"/>
    <col min="6644" max="6644" width="17.36328125" style="36" bestFit="1" customWidth="1"/>
    <col min="6645" max="6645" width="13.6328125" style="36" bestFit="1" customWidth="1"/>
    <col min="6646" max="6646" width="12.36328125" style="36" bestFit="1" customWidth="1"/>
    <col min="6647" max="6647" width="19.453125" style="36" bestFit="1" customWidth="1"/>
    <col min="6648" max="6648" width="12.453125" style="36" bestFit="1" customWidth="1"/>
    <col min="6649" max="6649" width="15.453125" style="36" bestFit="1" customWidth="1"/>
    <col min="6650" max="6650" width="16.36328125" style="36" bestFit="1" customWidth="1"/>
    <col min="6651" max="6651" width="19" style="36" bestFit="1" customWidth="1"/>
    <col min="6652" max="6652" width="6" style="36" bestFit="1" customWidth="1"/>
    <col min="6653" max="6653" width="17" style="36" bestFit="1" customWidth="1"/>
    <col min="6654" max="6654" width="8.81640625" style="36" bestFit="1" customWidth="1"/>
    <col min="6655" max="6655" width="19.1796875" style="36" bestFit="1" customWidth="1"/>
    <col min="6656" max="6656" width="13.453125" style="36" bestFit="1" customWidth="1"/>
    <col min="6657" max="6657" width="25" style="36" bestFit="1" customWidth="1"/>
    <col min="6658" max="6658" width="21.1796875" style="36" bestFit="1" customWidth="1"/>
    <col min="6659" max="6659" width="41.1796875" style="36" bestFit="1" customWidth="1"/>
    <col min="6660" max="6660" width="9.36328125" style="36" bestFit="1" customWidth="1"/>
    <col min="6661" max="6661" width="19" style="36" bestFit="1" customWidth="1"/>
    <col min="6662" max="6662" width="7.81640625" style="36" bestFit="1" customWidth="1"/>
    <col min="6663" max="6663" width="17.453125" style="36" bestFit="1" customWidth="1"/>
    <col min="6664" max="6897" width="21.6328125" style="36"/>
    <col min="6898" max="6898" width="61" style="36" bestFit="1" customWidth="1"/>
    <col min="6899" max="6899" width="84.453125" style="36" bestFit="1" customWidth="1"/>
    <col min="6900" max="6900" width="17.36328125" style="36" bestFit="1" customWidth="1"/>
    <col min="6901" max="6901" width="13.6328125" style="36" bestFit="1" customWidth="1"/>
    <col min="6902" max="6902" width="12.36328125" style="36" bestFit="1" customWidth="1"/>
    <col min="6903" max="6903" width="19.453125" style="36" bestFit="1" customWidth="1"/>
    <col min="6904" max="6904" width="12.453125" style="36" bestFit="1" customWidth="1"/>
    <col min="6905" max="6905" width="15.453125" style="36" bestFit="1" customWidth="1"/>
    <col min="6906" max="6906" width="16.36328125" style="36" bestFit="1" customWidth="1"/>
    <col min="6907" max="6907" width="19" style="36" bestFit="1" customWidth="1"/>
    <col min="6908" max="6908" width="6" style="36" bestFit="1" customWidth="1"/>
    <col min="6909" max="6909" width="17" style="36" bestFit="1" customWidth="1"/>
    <col min="6910" max="6910" width="8.81640625" style="36" bestFit="1" customWidth="1"/>
    <col min="6911" max="6911" width="19.1796875" style="36" bestFit="1" customWidth="1"/>
    <col min="6912" max="6912" width="13.453125" style="36" bestFit="1" customWidth="1"/>
    <col min="6913" max="6913" width="25" style="36" bestFit="1" customWidth="1"/>
    <col min="6914" max="6914" width="21.1796875" style="36" bestFit="1" customWidth="1"/>
    <col min="6915" max="6915" width="41.1796875" style="36" bestFit="1" customWidth="1"/>
    <col min="6916" max="6916" width="9.36328125" style="36" bestFit="1" customWidth="1"/>
    <col min="6917" max="6917" width="19" style="36" bestFit="1" customWidth="1"/>
    <col min="6918" max="6918" width="7.81640625" style="36" bestFit="1" customWidth="1"/>
    <col min="6919" max="6919" width="17.453125" style="36" bestFit="1" customWidth="1"/>
    <col min="6920" max="7153" width="21.6328125" style="36"/>
    <col min="7154" max="7154" width="61" style="36" bestFit="1" customWidth="1"/>
    <col min="7155" max="7155" width="84.453125" style="36" bestFit="1" customWidth="1"/>
    <col min="7156" max="7156" width="17.36328125" style="36" bestFit="1" customWidth="1"/>
    <col min="7157" max="7157" width="13.6328125" style="36" bestFit="1" customWidth="1"/>
    <col min="7158" max="7158" width="12.36328125" style="36" bestFit="1" customWidth="1"/>
    <col min="7159" max="7159" width="19.453125" style="36" bestFit="1" customWidth="1"/>
    <col min="7160" max="7160" width="12.453125" style="36" bestFit="1" customWidth="1"/>
    <col min="7161" max="7161" width="15.453125" style="36" bestFit="1" customWidth="1"/>
    <col min="7162" max="7162" width="16.36328125" style="36" bestFit="1" customWidth="1"/>
    <col min="7163" max="7163" width="19" style="36" bestFit="1" customWidth="1"/>
    <col min="7164" max="7164" width="6" style="36" bestFit="1" customWidth="1"/>
    <col min="7165" max="7165" width="17" style="36" bestFit="1" customWidth="1"/>
    <col min="7166" max="7166" width="8.81640625" style="36" bestFit="1" customWidth="1"/>
    <col min="7167" max="7167" width="19.1796875" style="36" bestFit="1" customWidth="1"/>
    <col min="7168" max="7168" width="13.453125" style="36" bestFit="1" customWidth="1"/>
    <col min="7169" max="7169" width="25" style="36" bestFit="1" customWidth="1"/>
    <col min="7170" max="7170" width="21.1796875" style="36" bestFit="1" customWidth="1"/>
    <col min="7171" max="7171" width="41.1796875" style="36" bestFit="1" customWidth="1"/>
    <col min="7172" max="7172" width="9.36328125" style="36" bestFit="1" customWidth="1"/>
    <col min="7173" max="7173" width="19" style="36" bestFit="1" customWidth="1"/>
    <col min="7174" max="7174" width="7.81640625" style="36" bestFit="1" customWidth="1"/>
    <col min="7175" max="7175" width="17.453125" style="36" bestFit="1" customWidth="1"/>
    <col min="7176" max="7409" width="21.6328125" style="36"/>
    <col min="7410" max="7410" width="61" style="36" bestFit="1" customWidth="1"/>
    <col min="7411" max="7411" width="84.453125" style="36" bestFit="1" customWidth="1"/>
    <col min="7412" max="7412" width="17.36328125" style="36" bestFit="1" customWidth="1"/>
    <col min="7413" max="7413" width="13.6328125" style="36" bestFit="1" customWidth="1"/>
    <col min="7414" max="7414" width="12.36328125" style="36" bestFit="1" customWidth="1"/>
    <col min="7415" max="7415" width="19.453125" style="36" bestFit="1" customWidth="1"/>
    <col min="7416" max="7416" width="12.453125" style="36" bestFit="1" customWidth="1"/>
    <col min="7417" max="7417" width="15.453125" style="36" bestFit="1" customWidth="1"/>
    <col min="7418" max="7418" width="16.36328125" style="36" bestFit="1" customWidth="1"/>
    <col min="7419" max="7419" width="19" style="36" bestFit="1" customWidth="1"/>
    <col min="7420" max="7420" width="6" style="36" bestFit="1" customWidth="1"/>
    <col min="7421" max="7421" width="17" style="36" bestFit="1" customWidth="1"/>
    <col min="7422" max="7422" width="8.81640625" style="36" bestFit="1" customWidth="1"/>
    <col min="7423" max="7423" width="19.1796875" style="36" bestFit="1" customWidth="1"/>
    <col min="7424" max="7424" width="13.453125" style="36" bestFit="1" customWidth="1"/>
    <col min="7425" max="7425" width="25" style="36" bestFit="1" customWidth="1"/>
    <col min="7426" max="7426" width="21.1796875" style="36" bestFit="1" customWidth="1"/>
    <col min="7427" max="7427" width="41.1796875" style="36" bestFit="1" customWidth="1"/>
    <col min="7428" max="7428" width="9.36328125" style="36" bestFit="1" customWidth="1"/>
    <col min="7429" max="7429" width="19" style="36" bestFit="1" customWidth="1"/>
    <col min="7430" max="7430" width="7.81640625" style="36" bestFit="1" customWidth="1"/>
    <col min="7431" max="7431" width="17.453125" style="36" bestFit="1" customWidth="1"/>
    <col min="7432" max="7665" width="21.6328125" style="36"/>
    <col min="7666" max="7666" width="61" style="36" bestFit="1" customWidth="1"/>
    <col min="7667" max="7667" width="84.453125" style="36" bestFit="1" customWidth="1"/>
    <col min="7668" max="7668" width="17.36328125" style="36" bestFit="1" customWidth="1"/>
    <col min="7669" max="7669" width="13.6328125" style="36" bestFit="1" customWidth="1"/>
    <col min="7670" max="7670" width="12.36328125" style="36" bestFit="1" customWidth="1"/>
    <col min="7671" max="7671" width="19.453125" style="36" bestFit="1" customWidth="1"/>
    <col min="7672" max="7672" width="12.453125" style="36" bestFit="1" customWidth="1"/>
    <col min="7673" max="7673" width="15.453125" style="36" bestFit="1" customWidth="1"/>
    <col min="7674" max="7674" width="16.36328125" style="36" bestFit="1" customWidth="1"/>
    <col min="7675" max="7675" width="19" style="36" bestFit="1" customWidth="1"/>
    <col min="7676" max="7676" width="6" style="36" bestFit="1" customWidth="1"/>
    <col min="7677" max="7677" width="17" style="36" bestFit="1" customWidth="1"/>
    <col min="7678" max="7678" width="8.81640625" style="36" bestFit="1" customWidth="1"/>
    <col min="7679" max="7679" width="19.1796875" style="36" bestFit="1" customWidth="1"/>
    <col min="7680" max="7680" width="13.453125" style="36" bestFit="1" customWidth="1"/>
    <col min="7681" max="7681" width="25" style="36" bestFit="1" customWidth="1"/>
    <col min="7682" max="7682" width="21.1796875" style="36" bestFit="1" customWidth="1"/>
    <col min="7683" max="7683" width="41.1796875" style="36" bestFit="1" customWidth="1"/>
    <col min="7684" max="7684" width="9.36328125" style="36" bestFit="1" customWidth="1"/>
    <col min="7685" max="7685" width="19" style="36" bestFit="1" customWidth="1"/>
    <col min="7686" max="7686" width="7.81640625" style="36" bestFit="1" customWidth="1"/>
    <col min="7687" max="7687" width="17.453125" style="36" bestFit="1" customWidth="1"/>
    <col min="7688" max="7921" width="21.6328125" style="36"/>
    <col min="7922" max="7922" width="61" style="36" bestFit="1" customWidth="1"/>
    <col min="7923" max="7923" width="84.453125" style="36" bestFit="1" customWidth="1"/>
    <col min="7924" max="7924" width="17.36328125" style="36" bestFit="1" customWidth="1"/>
    <col min="7925" max="7925" width="13.6328125" style="36" bestFit="1" customWidth="1"/>
    <col min="7926" max="7926" width="12.36328125" style="36" bestFit="1" customWidth="1"/>
    <col min="7927" max="7927" width="19.453125" style="36" bestFit="1" customWidth="1"/>
    <col min="7928" max="7928" width="12.453125" style="36" bestFit="1" customWidth="1"/>
    <col min="7929" max="7929" width="15.453125" style="36" bestFit="1" customWidth="1"/>
    <col min="7930" max="7930" width="16.36328125" style="36" bestFit="1" customWidth="1"/>
    <col min="7931" max="7931" width="19" style="36" bestFit="1" customWidth="1"/>
    <col min="7932" max="7932" width="6" style="36" bestFit="1" customWidth="1"/>
    <col min="7933" max="7933" width="17" style="36" bestFit="1" customWidth="1"/>
    <col min="7934" max="7934" width="8.81640625" style="36" bestFit="1" customWidth="1"/>
    <col min="7935" max="7935" width="19.1796875" style="36" bestFit="1" customWidth="1"/>
    <col min="7936" max="7936" width="13.453125" style="36" bestFit="1" customWidth="1"/>
    <col min="7937" max="7937" width="25" style="36" bestFit="1" customWidth="1"/>
    <col min="7938" max="7938" width="21.1796875" style="36" bestFit="1" customWidth="1"/>
    <col min="7939" max="7939" width="41.1796875" style="36" bestFit="1" customWidth="1"/>
    <col min="7940" max="7940" width="9.36328125" style="36" bestFit="1" customWidth="1"/>
    <col min="7941" max="7941" width="19" style="36" bestFit="1" customWidth="1"/>
    <col min="7942" max="7942" width="7.81640625" style="36" bestFit="1" customWidth="1"/>
    <col min="7943" max="7943" width="17.453125" style="36" bestFit="1" customWidth="1"/>
    <col min="7944" max="8177" width="21.6328125" style="36"/>
    <col min="8178" max="8178" width="61" style="36" bestFit="1" customWidth="1"/>
    <col min="8179" max="8179" width="84.453125" style="36" bestFit="1" customWidth="1"/>
    <col min="8180" max="8180" width="17.36328125" style="36" bestFit="1" customWidth="1"/>
    <col min="8181" max="8181" width="13.6328125" style="36" bestFit="1" customWidth="1"/>
    <col min="8182" max="8182" width="12.36328125" style="36" bestFit="1" customWidth="1"/>
    <col min="8183" max="8183" width="19.453125" style="36" bestFit="1" customWidth="1"/>
    <col min="8184" max="8184" width="12.453125" style="36" bestFit="1" customWidth="1"/>
    <col min="8185" max="8185" width="15.453125" style="36" bestFit="1" customWidth="1"/>
    <col min="8186" max="8186" width="16.36328125" style="36" bestFit="1" customWidth="1"/>
    <col min="8187" max="8187" width="19" style="36" bestFit="1" customWidth="1"/>
    <col min="8188" max="8188" width="6" style="36" bestFit="1" customWidth="1"/>
    <col min="8189" max="8189" width="17" style="36" bestFit="1" customWidth="1"/>
    <col min="8190" max="8190" width="8.81640625" style="36" bestFit="1" customWidth="1"/>
    <col min="8191" max="8191" width="19.1796875" style="36" bestFit="1" customWidth="1"/>
    <col min="8192" max="8192" width="13.453125" style="36" bestFit="1" customWidth="1"/>
    <col min="8193" max="8193" width="25" style="36" bestFit="1" customWidth="1"/>
    <col min="8194" max="8194" width="21.1796875" style="36" bestFit="1" customWidth="1"/>
    <col min="8195" max="8195" width="41.1796875" style="36" bestFit="1" customWidth="1"/>
    <col min="8196" max="8196" width="9.36328125" style="36" bestFit="1" customWidth="1"/>
    <col min="8197" max="8197" width="19" style="36" bestFit="1" customWidth="1"/>
    <col min="8198" max="8198" width="7.81640625" style="36" bestFit="1" customWidth="1"/>
    <col min="8199" max="8199" width="17.453125" style="36" bestFit="1" customWidth="1"/>
    <col min="8200" max="8433" width="21.6328125" style="36"/>
    <col min="8434" max="8434" width="61" style="36" bestFit="1" customWidth="1"/>
    <col min="8435" max="8435" width="84.453125" style="36" bestFit="1" customWidth="1"/>
    <col min="8436" max="8436" width="17.36328125" style="36" bestFit="1" customWidth="1"/>
    <col min="8437" max="8437" width="13.6328125" style="36" bestFit="1" customWidth="1"/>
    <col min="8438" max="8438" width="12.36328125" style="36" bestFit="1" customWidth="1"/>
    <col min="8439" max="8439" width="19.453125" style="36" bestFit="1" customWidth="1"/>
    <col min="8440" max="8440" width="12.453125" style="36" bestFit="1" customWidth="1"/>
    <col min="8441" max="8441" width="15.453125" style="36" bestFit="1" customWidth="1"/>
    <col min="8442" max="8442" width="16.36328125" style="36" bestFit="1" customWidth="1"/>
    <col min="8443" max="8443" width="19" style="36" bestFit="1" customWidth="1"/>
    <col min="8444" max="8444" width="6" style="36" bestFit="1" customWidth="1"/>
    <col min="8445" max="8445" width="17" style="36" bestFit="1" customWidth="1"/>
    <col min="8446" max="8446" width="8.81640625" style="36" bestFit="1" customWidth="1"/>
    <col min="8447" max="8447" width="19.1796875" style="36" bestFit="1" customWidth="1"/>
    <col min="8448" max="8448" width="13.453125" style="36" bestFit="1" customWidth="1"/>
    <col min="8449" max="8449" width="25" style="36" bestFit="1" customWidth="1"/>
    <col min="8450" max="8450" width="21.1796875" style="36" bestFit="1" customWidth="1"/>
    <col min="8451" max="8451" width="41.1796875" style="36" bestFit="1" customWidth="1"/>
    <col min="8452" max="8452" width="9.36328125" style="36" bestFit="1" customWidth="1"/>
    <col min="8453" max="8453" width="19" style="36" bestFit="1" customWidth="1"/>
    <col min="8454" max="8454" width="7.81640625" style="36" bestFit="1" customWidth="1"/>
    <col min="8455" max="8455" width="17.453125" style="36" bestFit="1" customWidth="1"/>
    <col min="8456" max="8689" width="21.6328125" style="36"/>
    <col min="8690" max="8690" width="61" style="36" bestFit="1" customWidth="1"/>
    <col min="8691" max="8691" width="84.453125" style="36" bestFit="1" customWidth="1"/>
    <col min="8692" max="8692" width="17.36328125" style="36" bestFit="1" customWidth="1"/>
    <col min="8693" max="8693" width="13.6328125" style="36" bestFit="1" customWidth="1"/>
    <col min="8694" max="8694" width="12.36328125" style="36" bestFit="1" customWidth="1"/>
    <col min="8695" max="8695" width="19.453125" style="36" bestFit="1" customWidth="1"/>
    <col min="8696" max="8696" width="12.453125" style="36" bestFit="1" customWidth="1"/>
    <col min="8697" max="8697" width="15.453125" style="36" bestFit="1" customWidth="1"/>
    <col min="8698" max="8698" width="16.36328125" style="36" bestFit="1" customWidth="1"/>
    <col min="8699" max="8699" width="19" style="36" bestFit="1" customWidth="1"/>
    <col min="8700" max="8700" width="6" style="36" bestFit="1" customWidth="1"/>
    <col min="8701" max="8701" width="17" style="36" bestFit="1" customWidth="1"/>
    <col min="8702" max="8702" width="8.81640625" style="36" bestFit="1" customWidth="1"/>
    <col min="8703" max="8703" width="19.1796875" style="36" bestFit="1" customWidth="1"/>
    <col min="8704" max="8704" width="13.453125" style="36" bestFit="1" customWidth="1"/>
    <col min="8705" max="8705" width="25" style="36" bestFit="1" customWidth="1"/>
    <col min="8706" max="8706" width="21.1796875" style="36" bestFit="1" customWidth="1"/>
    <col min="8707" max="8707" width="41.1796875" style="36" bestFit="1" customWidth="1"/>
    <col min="8708" max="8708" width="9.36328125" style="36" bestFit="1" customWidth="1"/>
    <col min="8709" max="8709" width="19" style="36" bestFit="1" customWidth="1"/>
    <col min="8710" max="8710" width="7.81640625" style="36" bestFit="1" customWidth="1"/>
    <col min="8711" max="8711" width="17.453125" style="36" bestFit="1" customWidth="1"/>
    <col min="8712" max="8945" width="21.6328125" style="36"/>
    <col min="8946" max="8946" width="61" style="36" bestFit="1" customWidth="1"/>
    <col min="8947" max="8947" width="84.453125" style="36" bestFit="1" customWidth="1"/>
    <col min="8948" max="8948" width="17.36328125" style="36" bestFit="1" customWidth="1"/>
    <col min="8949" max="8949" width="13.6328125" style="36" bestFit="1" customWidth="1"/>
    <col min="8950" max="8950" width="12.36328125" style="36" bestFit="1" customWidth="1"/>
    <col min="8951" max="8951" width="19.453125" style="36" bestFit="1" customWidth="1"/>
    <col min="8952" max="8952" width="12.453125" style="36" bestFit="1" customWidth="1"/>
    <col min="8953" max="8953" width="15.453125" style="36" bestFit="1" customWidth="1"/>
    <col min="8954" max="8954" width="16.36328125" style="36" bestFit="1" customWidth="1"/>
    <col min="8955" max="8955" width="19" style="36" bestFit="1" customWidth="1"/>
    <col min="8956" max="8956" width="6" style="36" bestFit="1" customWidth="1"/>
    <col min="8957" max="8957" width="17" style="36" bestFit="1" customWidth="1"/>
    <col min="8958" max="8958" width="8.81640625" style="36" bestFit="1" customWidth="1"/>
    <col min="8959" max="8959" width="19.1796875" style="36" bestFit="1" customWidth="1"/>
    <col min="8960" max="8960" width="13.453125" style="36" bestFit="1" customWidth="1"/>
    <col min="8961" max="8961" width="25" style="36" bestFit="1" customWidth="1"/>
    <col min="8962" max="8962" width="21.1796875" style="36" bestFit="1" customWidth="1"/>
    <col min="8963" max="8963" width="41.1796875" style="36" bestFit="1" customWidth="1"/>
    <col min="8964" max="8964" width="9.36328125" style="36" bestFit="1" customWidth="1"/>
    <col min="8965" max="8965" width="19" style="36" bestFit="1" customWidth="1"/>
    <col min="8966" max="8966" width="7.81640625" style="36" bestFit="1" customWidth="1"/>
    <col min="8967" max="8967" width="17.453125" style="36" bestFit="1" customWidth="1"/>
    <col min="8968" max="9201" width="21.6328125" style="36"/>
    <col min="9202" max="9202" width="61" style="36" bestFit="1" customWidth="1"/>
    <col min="9203" max="9203" width="84.453125" style="36" bestFit="1" customWidth="1"/>
    <col min="9204" max="9204" width="17.36328125" style="36" bestFit="1" customWidth="1"/>
    <col min="9205" max="9205" width="13.6328125" style="36" bestFit="1" customWidth="1"/>
    <col min="9206" max="9206" width="12.36328125" style="36" bestFit="1" customWidth="1"/>
    <col min="9207" max="9207" width="19.453125" style="36" bestFit="1" customWidth="1"/>
    <col min="9208" max="9208" width="12.453125" style="36" bestFit="1" customWidth="1"/>
    <col min="9209" max="9209" width="15.453125" style="36" bestFit="1" customWidth="1"/>
    <col min="9210" max="9210" width="16.36328125" style="36" bestFit="1" customWidth="1"/>
    <col min="9211" max="9211" width="19" style="36" bestFit="1" customWidth="1"/>
    <col min="9212" max="9212" width="6" style="36" bestFit="1" customWidth="1"/>
    <col min="9213" max="9213" width="17" style="36" bestFit="1" customWidth="1"/>
    <col min="9214" max="9214" width="8.81640625" style="36" bestFit="1" customWidth="1"/>
    <col min="9215" max="9215" width="19.1796875" style="36" bestFit="1" customWidth="1"/>
    <col min="9216" max="9216" width="13.453125" style="36" bestFit="1" customWidth="1"/>
    <col min="9217" max="9217" width="25" style="36" bestFit="1" customWidth="1"/>
    <col min="9218" max="9218" width="21.1796875" style="36" bestFit="1" customWidth="1"/>
    <col min="9219" max="9219" width="41.1796875" style="36" bestFit="1" customWidth="1"/>
    <col min="9220" max="9220" width="9.36328125" style="36" bestFit="1" customWidth="1"/>
    <col min="9221" max="9221" width="19" style="36" bestFit="1" customWidth="1"/>
    <col min="9222" max="9222" width="7.81640625" style="36" bestFit="1" customWidth="1"/>
    <col min="9223" max="9223" width="17.453125" style="36" bestFit="1" customWidth="1"/>
    <col min="9224" max="9457" width="21.6328125" style="36"/>
    <col min="9458" max="9458" width="61" style="36" bestFit="1" customWidth="1"/>
    <col min="9459" max="9459" width="84.453125" style="36" bestFit="1" customWidth="1"/>
    <col min="9460" max="9460" width="17.36328125" style="36" bestFit="1" customWidth="1"/>
    <col min="9461" max="9461" width="13.6328125" style="36" bestFit="1" customWidth="1"/>
    <col min="9462" max="9462" width="12.36328125" style="36" bestFit="1" customWidth="1"/>
    <col min="9463" max="9463" width="19.453125" style="36" bestFit="1" customWidth="1"/>
    <col min="9464" max="9464" width="12.453125" style="36" bestFit="1" customWidth="1"/>
    <col min="9465" max="9465" width="15.453125" style="36" bestFit="1" customWidth="1"/>
    <col min="9466" max="9466" width="16.36328125" style="36" bestFit="1" customWidth="1"/>
    <col min="9467" max="9467" width="19" style="36" bestFit="1" customWidth="1"/>
    <col min="9468" max="9468" width="6" style="36" bestFit="1" customWidth="1"/>
    <col min="9469" max="9469" width="17" style="36" bestFit="1" customWidth="1"/>
    <col min="9470" max="9470" width="8.81640625" style="36" bestFit="1" customWidth="1"/>
    <col min="9471" max="9471" width="19.1796875" style="36" bestFit="1" customWidth="1"/>
    <col min="9472" max="9472" width="13.453125" style="36" bestFit="1" customWidth="1"/>
    <col min="9473" max="9473" width="25" style="36" bestFit="1" customWidth="1"/>
    <col min="9474" max="9474" width="21.1796875" style="36" bestFit="1" customWidth="1"/>
    <col min="9475" max="9475" width="41.1796875" style="36" bestFit="1" customWidth="1"/>
    <col min="9476" max="9476" width="9.36328125" style="36" bestFit="1" customWidth="1"/>
    <col min="9477" max="9477" width="19" style="36" bestFit="1" customWidth="1"/>
    <col min="9478" max="9478" width="7.81640625" style="36" bestFit="1" customWidth="1"/>
    <col min="9479" max="9479" width="17.453125" style="36" bestFit="1" customWidth="1"/>
    <col min="9480" max="9713" width="21.6328125" style="36"/>
    <col min="9714" max="9714" width="61" style="36" bestFit="1" customWidth="1"/>
    <col min="9715" max="9715" width="84.453125" style="36" bestFit="1" customWidth="1"/>
    <col min="9716" max="9716" width="17.36328125" style="36" bestFit="1" customWidth="1"/>
    <col min="9717" max="9717" width="13.6328125" style="36" bestFit="1" customWidth="1"/>
    <col min="9718" max="9718" width="12.36328125" style="36" bestFit="1" customWidth="1"/>
    <col min="9719" max="9719" width="19.453125" style="36" bestFit="1" customWidth="1"/>
    <col min="9720" max="9720" width="12.453125" style="36" bestFit="1" customWidth="1"/>
    <col min="9721" max="9721" width="15.453125" style="36" bestFit="1" customWidth="1"/>
    <col min="9722" max="9722" width="16.36328125" style="36" bestFit="1" customWidth="1"/>
    <col min="9723" max="9723" width="19" style="36" bestFit="1" customWidth="1"/>
    <col min="9724" max="9724" width="6" style="36" bestFit="1" customWidth="1"/>
    <col min="9725" max="9725" width="17" style="36" bestFit="1" customWidth="1"/>
    <col min="9726" max="9726" width="8.81640625" style="36" bestFit="1" customWidth="1"/>
    <col min="9727" max="9727" width="19.1796875" style="36" bestFit="1" customWidth="1"/>
    <col min="9728" max="9728" width="13.453125" style="36" bestFit="1" customWidth="1"/>
    <col min="9729" max="9729" width="25" style="36" bestFit="1" customWidth="1"/>
    <col min="9730" max="9730" width="21.1796875" style="36" bestFit="1" customWidth="1"/>
    <col min="9731" max="9731" width="41.1796875" style="36" bestFit="1" customWidth="1"/>
    <col min="9732" max="9732" width="9.36328125" style="36" bestFit="1" customWidth="1"/>
    <col min="9733" max="9733" width="19" style="36" bestFit="1" customWidth="1"/>
    <col min="9734" max="9734" width="7.81640625" style="36" bestFit="1" customWidth="1"/>
    <col min="9735" max="9735" width="17.453125" style="36" bestFit="1" customWidth="1"/>
    <col min="9736" max="9969" width="21.6328125" style="36"/>
    <col min="9970" max="9970" width="61" style="36" bestFit="1" customWidth="1"/>
    <col min="9971" max="9971" width="84.453125" style="36" bestFit="1" customWidth="1"/>
    <col min="9972" max="9972" width="17.36328125" style="36" bestFit="1" customWidth="1"/>
    <col min="9973" max="9973" width="13.6328125" style="36" bestFit="1" customWidth="1"/>
    <col min="9974" max="9974" width="12.36328125" style="36" bestFit="1" customWidth="1"/>
    <col min="9975" max="9975" width="19.453125" style="36" bestFit="1" customWidth="1"/>
    <col min="9976" max="9976" width="12.453125" style="36" bestFit="1" customWidth="1"/>
    <col min="9977" max="9977" width="15.453125" style="36" bestFit="1" customWidth="1"/>
    <col min="9978" max="9978" width="16.36328125" style="36" bestFit="1" customWidth="1"/>
    <col min="9979" max="9979" width="19" style="36" bestFit="1" customWidth="1"/>
    <col min="9980" max="9980" width="6" style="36" bestFit="1" customWidth="1"/>
    <col min="9981" max="9981" width="17" style="36" bestFit="1" customWidth="1"/>
    <col min="9982" max="9982" width="8.81640625" style="36" bestFit="1" customWidth="1"/>
    <col min="9983" max="9983" width="19.1796875" style="36" bestFit="1" customWidth="1"/>
    <col min="9984" max="9984" width="13.453125" style="36" bestFit="1" customWidth="1"/>
    <col min="9985" max="9985" width="25" style="36" bestFit="1" customWidth="1"/>
    <col min="9986" max="9986" width="21.1796875" style="36" bestFit="1" customWidth="1"/>
    <col min="9987" max="9987" width="41.1796875" style="36" bestFit="1" customWidth="1"/>
    <col min="9988" max="9988" width="9.36328125" style="36" bestFit="1" customWidth="1"/>
    <col min="9989" max="9989" width="19" style="36" bestFit="1" customWidth="1"/>
    <col min="9990" max="9990" width="7.81640625" style="36" bestFit="1" customWidth="1"/>
    <col min="9991" max="9991" width="17.453125" style="36" bestFit="1" customWidth="1"/>
    <col min="9992" max="10225" width="21.6328125" style="36"/>
    <col min="10226" max="10226" width="61" style="36" bestFit="1" customWidth="1"/>
    <col min="10227" max="10227" width="84.453125" style="36" bestFit="1" customWidth="1"/>
    <col min="10228" max="10228" width="17.36328125" style="36" bestFit="1" customWidth="1"/>
    <col min="10229" max="10229" width="13.6328125" style="36" bestFit="1" customWidth="1"/>
    <col min="10230" max="10230" width="12.36328125" style="36" bestFit="1" customWidth="1"/>
    <col min="10231" max="10231" width="19.453125" style="36" bestFit="1" customWidth="1"/>
    <col min="10232" max="10232" width="12.453125" style="36" bestFit="1" customWidth="1"/>
    <col min="10233" max="10233" width="15.453125" style="36" bestFit="1" customWidth="1"/>
    <col min="10234" max="10234" width="16.36328125" style="36" bestFit="1" customWidth="1"/>
    <col min="10235" max="10235" width="19" style="36" bestFit="1" customWidth="1"/>
    <col min="10236" max="10236" width="6" style="36" bestFit="1" customWidth="1"/>
    <col min="10237" max="10237" width="17" style="36" bestFit="1" customWidth="1"/>
    <col min="10238" max="10238" width="8.81640625" style="36" bestFit="1" customWidth="1"/>
    <col min="10239" max="10239" width="19.1796875" style="36" bestFit="1" customWidth="1"/>
    <col min="10240" max="10240" width="13.453125" style="36" bestFit="1" customWidth="1"/>
    <col min="10241" max="10241" width="25" style="36" bestFit="1" customWidth="1"/>
    <col min="10242" max="10242" width="21.1796875" style="36" bestFit="1" customWidth="1"/>
    <col min="10243" max="10243" width="41.1796875" style="36" bestFit="1" customWidth="1"/>
    <col min="10244" max="10244" width="9.36328125" style="36" bestFit="1" customWidth="1"/>
    <col min="10245" max="10245" width="19" style="36" bestFit="1" customWidth="1"/>
    <col min="10246" max="10246" width="7.81640625" style="36" bestFit="1" customWidth="1"/>
    <col min="10247" max="10247" width="17.453125" style="36" bestFit="1" customWidth="1"/>
    <col min="10248" max="10481" width="21.6328125" style="36"/>
    <col min="10482" max="10482" width="61" style="36" bestFit="1" customWidth="1"/>
    <col min="10483" max="10483" width="84.453125" style="36" bestFit="1" customWidth="1"/>
    <col min="10484" max="10484" width="17.36328125" style="36" bestFit="1" customWidth="1"/>
    <col min="10485" max="10485" width="13.6328125" style="36" bestFit="1" customWidth="1"/>
    <col min="10486" max="10486" width="12.36328125" style="36" bestFit="1" customWidth="1"/>
    <col min="10487" max="10487" width="19.453125" style="36" bestFit="1" customWidth="1"/>
    <col min="10488" max="10488" width="12.453125" style="36" bestFit="1" customWidth="1"/>
    <col min="10489" max="10489" width="15.453125" style="36" bestFit="1" customWidth="1"/>
    <col min="10490" max="10490" width="16.36328125" style="36" bestFit="1" customWidth="1"/>
    <col min="10491" max="10491" width="19" style="36" bestFit="1" customWidth="1"/>
    <col min="10492" max="10492" width="6" style="36" bestFit="1" customWidth="1"/>
    <col min="10493" max="10493" width="17" style="36" bestFit="1" customWidth="1"/>
    <col min="10494" max="10494" width="8.81640625" style="36" bestFit="1" customWidth="1"/>
    <col min="10495" max="10495" width="19.1796875" style="36" bestFit="1" customWidth="1"/>
    <col min="10496" max="10496" width="13.453125" style="36" bestFit="1" customWidth="1"/>
    <col min="10497" max="10497" width="25" style="36" bestFit="1" customWidth="1"/>
    <col min="10498" max="10498" width="21.1796875" style="36" bestFit="1" customWidth="1"/>
    <col min="10499" max="10499" width="41.1796875" style="36" bestFit="1" customWidth="1"/>
    <col min="10500" max="10500" width="9.36328125" style="36" bestFit="1" customWidth="1"/>
    <col min="10501" max="10501" width="19" style="36" bestFit="1" customWidth="1"/>
    <col min="10502" max="10502" width="7.81640625" style="36" bestFit="1" customWidth="1"/>
    <col min="10503" max="10503" width="17.453125" style="36" bestFit="1" customWidth="1"/>
    <col min="10504" max="10737" width="21.6328125" style="36"/>
    <col min="10738" max="10738" width="61" style="36" bestFit="1" customWidth="1"/>
    <col min="10739" max="10739" width="84.453125" style="36" bestFit="1" customWidth="1"/>
    <col min="10740" max="10740" width="17.36328125" style="36" bestFit="1" customWidth="1"/>
    <col min="10741" max="10741" width="13.6328125" style="36" bestFit="1" customWidth="1"/>
    <col min="10742" max="10742" width="12.36328125" style="36" bestFit="1" customWidth="1"/>
    <col min="10743" max="10743" width="19.453125" style="36" bestFit="1" customWidth="1"/>
    <col min="10744" max="10744" width="12.453125" style="36" bestFit="1" customWidth="1"/>
    <col min="10745" max="10745" width="15.453125" style="36" bestFit="1" customWidth="1"/>
    <col min="10746" max="10746" width="16.36328125" style="36" bestFit="1" customWidth="1"/>
    <col min="10747" max="10747" width="19" style="36" bestFit="1" customWidth="1"/>
    <col min="10748" max="10748" width="6" style="36" bestFit="1" customWidth="1"/>
    <col min="10749" max="10749" width="17" style="36" bestFit="1" customWidth="1"/>
    <col min="10750" max="10750" width="8.81640625" style="36" bestFit="1" customWidth="1"/>
    <col min="10751" max="10751" width="19.1796875" style="36" bestFit="1" customWidth="1"/>
    <col min="10752" max="10752" width="13.453125" style="36" bestFit="1" customWidth="1"/>
    <col min="10753" max="10753" width="25" style="36" bestFit="1" customWidth="1"/>
    <col min="10754" max="10754" width="21.1796875" style="36" bestFit="1" customWidth="1"/>
    <col min="10755" max="10755" width="41.1796875" style="36" bestFit="1" customWidth="1"/>
    <col min="10756" max="10756" width="9.36328125" style="36" bestFit="1" customWidth="1"/>
    <col min="10757" max="10757" width="19" style="36" bestFit="1" customWidth="1"/>
    <col min="10758" max="10758" width="7.81640625" style="36" bestFit="1" customWidth="1"/>
    <col min="10759" max="10759" width="17.453125" style="36" bestFit="1" customWidth="1"/>
    <col min="10760" max="10993" width="21.6328125" style="36"/>
    <col min="10994" max="10994" width="61" style="36" bestFit="1" customWidth="1"/>
    <col min="10995" max="10995" width="84.453125" style="36" bestFit="1" customWidth="1"/>
    <col min="10996" max="10996" width="17.36328125" style="36" bestFit="1" customWidth="1"/>
    <col min="10997" max="10997" width="13.6328125" style="36" bestFit="1" customWidth="1"/>
    <col min="10998" max="10998" width="12.36328125" style="36" bestFit="1" customWidth="1"/>
    <col min="10999" max="10999" width="19.453125" style="36" bestFit="1" customWidth="1"/>
    <col min="11000" max="11000" width="12.453125" style="36" bestFit="1" customWidth="1"/>
    <col min="11001" max="11001" width="15.453125" style="36" bestFit="1" customWidth="1"/>
    <col min="11002" max="11002" width="16.36328125" style="36" bestFit="1" customWidth="1"/>
    <col min="11003" max="11003" width="19" style="36" bestFit="1" customWidth="1"/>
    <col min="11004" max="11004" width="6" style="36" bestFit="1" customWidth="1"/>
    <col min="11005" max="11005" width="17" style="36" bestFit="1" customWidth="1"/>
    <col min="11006" max="11006" width="8.81640625" style="36" bestFit="1" customWidth="1"/>
    <col min="11007" max="11007" width="19.1796875" style="36" bestFit="1" customWidth="1"/>
    <col min="11008" max="11008" width="13.453125" style="36" bestFit="1" customWidth="1"/>
    <col min="11009" max="11009" width="25" style="36" bestFit="1" customWidth="1"/>
    <col min="11010" max="11010" width="21.1796875" style="36" bestFit="1" customWidth="1"/>
    <col min="11011" max="11011" width="41.1796875" style="36" bestFit="1" customWidth="1"/>
    <col min="11012" max="11012" width="9.36328125" style="36" bestFit="1" customWidth="1"/>
    <col min="11013" max="11013" width="19" style="36" bestFit="1" customWidth="1"/>
    <col min="11014" max="11014" width="7.81640625" style="36" bestFit="1" customWidth="1"/>
    <col min="11015" max="11015" width="17.453125" style="36" bestFit="1" customWidth="1"/>
    <col min="11016" max="11249" width="21.6328125" style="36"/>
    <col min="11250" max="11250" width="61" style="36" bestFit="1" customWidth="1"/>
    <col min="11251" max="11251" width="84.453125" style="36" bestFit="1" customWidth="1"/>
    <col min="11252" max="11252" width="17.36328125" style="36" bestFit="1" customWidth="1"/>
    <col min="11253" max="11253" width="13.6328125" style="36" bestFit="1" customWidth="1"/>
    <col min="11254" max="11254" width="12.36328125" style="36" bestFit="1" customWidth="1"/>
    <col min="11255" max="11255" width="19.453125" style="36" bestFit="1" customWidth="1"/>
    <col min="11256" max="11256" width="12.453125" style="36" bestFit="1" customWidth="1"/>
    <col min="11257" max="11257" width="15.453125" style="36" bestFit="1" customWidth="1"/>
    <col min="11258" max="11258" width="16.36328125" style="36" bestFit="1" customWidth="1"/>
    <col min="11259" max="11259" width="19" style="36" bestFit="1" customWidth="1"/>
    <col min="11260" max="11260" width="6" style="36" bestFit="1" customWidth="1"/>
    <col min="11261" max="11261" width="17" style="36" bestFit="1" customWidth="1"/>
    <col min="11262" max="11262" width="8.81640625" style="36" bestFit="1" customWidth="1"/>
    <col min="11263" max="11263" width="19.1796875" style="36" bestFit="1" customWidth="1"/>
    <col min="11264" max="11264" width="13.453125" style="36" bestFit="1" customWidth="1"/>
    <col min="11265" max="11265" width="25" style="36" bestFit="1" customWidth="1"/>
    <col min="11266" max="11266" width="21.1796875" style="36" bestFit="1" customWidth="1"/>
    <col min="11267" max="11267" width="41.1796875" style="36" bestFit="1" customWidth="1"/>
    <col min="11268" max="11268" width="9.36328125" style="36" bestFit="1" customWidth="1"/>
    <col min="11269" max="11269" width="19" style="36" bestFit="1" customWidth="1"/>
    <col min="11270" max="11270" width="7.81640625" style="36" bestFit="1" customWidth="1"/>
    <col min="11271" max="11271" width="17.453125" style="36" bestFit="1" customWidth="1"/>
    <col min="11272" max="11505" width="21.6328125" style="36"/>
    <col min="11506" max="11506" width="61" style="36" bestFit="1" customWidth="1"/>
    <col min="11507" max="11507" width="84.453125" style="36" bestFit="1" customWidth="1"/>
    <col min="11508" max="11508" width="17.36328125" style="36" bestFit="1" customWidth="1"/>
    <col min="11509" max="11509" width="13.6328125" style="36" bestFit="1" customWidth="1"/>
    <col min="11510" max="11510" width="12.36328125" style="36" bestFit="1" customWidth="1"/>
    <col min="11511" max="11511" width="19.453125" style="36" bestFit="1" customWidth="1"/>
    <col min="11512" max="11512" width="12.453125" style="36" bestFit="1" customWidth="1"/>
    <col min="11513" max="11513" width="15.453125" style="36" bestFit="1" customWidth="1"/>
    <col min="11514" max="11514" width="16.36328125" style="36" bestFit="1" customWidth="1"/>
    <col min="11515" max="11515" width="19" style="36" bestFit="1" customWidth="1"/>
    <col min="11516" max="11516" width="6" style="36" bestFit="1" customWidth="1"/>
    <col min="11517" max="11517" width="17" style="36" bestFit="1" customWidth="1"/>
    <col min="11518" max="11518" width="8.81640625" style="36" bestFit="1" customWidth="1"/>
    <col min="11519" max="11519" width="19.1796875" style="36" bestFit="1" customWidth="1"/>
    <col min="11520" max="11520" width="13.453125" style="36" bestFit="1" customWidth="1"/>
    <col min="11521" max="11521" width="25" style="36" bestFit="1" customWidth="1"/>
    <col min="11522" max="11522" width="21.1796875" style="36" bestFit="1" customWidth="1"/>
    <col min="11523" max="11523" width="41.1796875" style="36" bestFit="1" customWidth="1"/>
    <col min="11524" max="11524" width="9.36328125" style="36" bestFit="1" customWidth="1"/>
    <col min="11525" max="11525" width="19" style="36" bestFit="1" customWidth="1"/>
    <col min="11526" max="11526" width="7.81640625" style="36" bestFit="1" customWidth="1"/>
    <col min="11527" max="11527" width="17.453125" style="36" bestFit="1" customWidth="1"/>
    <col min="11528" max="11761" width="21.6328125" style="36"/>
    <col min="11762" max="11762" width="61" style="36" bestFit="1" customWidth="1"/>
    <col min="11763" max="11763" width="84.453125" style="36" bestFit="1" customWidth="1"/>
    <col min="11764" max="11764" width="17.36328125" style="36" bestFit="1" customWidth="1"/>
    <col min="11765" max="11765" width="13.6328125" style="36" bestFit="1" customWidth="1"/>
    <col min="11766" max="11766" width="12.36328125" style="36" bestFit="1" customWidth="1"/>
    <col min="11767" max="11767" width="19.453125" style="36" bestFit="1" customWidth="1"/>
    <col min="11768" max="11768" width="12.453125" style="36" bestFit="1" customWidth="1"/>
    <col min="11769" max="11769" width="15.453125" style="36" bestFit="1" customWidth="1"/>
    <col min="11770" max="11770" width="16.36328125" style="36" bestFit="1" customWidth="1"/>
    <col min="11771" max="11771" width="19" style="36" bestFit="1" customWidth="1"/>
    <col min="11772" max="11772" width="6" style="36" bestFit="1" customWidth="1"/>
    <col min="11773" max="11773" width="17" style="36" bestFit="1" customWidth="1"/>
    <col min="11774" max="11774" width="8.81640625" style="36" bestFit="1" customWidth="1"/>
    <col min="11775" max="11775" width="19.1796875" style="36" bestFit="1" customWidth="1"/>
    <col min="11776" max="11776" width="13.453125" style="36" bestFit="1" customWidth="1"/>
    <col min="11777" max="11777" width="25" style="36" bestFit="1" customWidth="1"/>
    <col min="11778" max="11778" width="21.1796875" style="36" bestFit="1" customWidth="1"/>
    <col min="11779" max="11779" width="41.1796875" style="36" bestFit="1" customWidth="1"/>
    <col min="11780" max="11780" width="9.36328125" style="36" bestFit="1" customWidth="1"/>
    <col min="11781" max="11781" width="19" style="36" bestFit="1" customWidth="1"/>
    <col min="11782" max="11782" width="7.81640625" style="36" bestFit="1" customWidth="1"/>
    <col min="11783" max="11783" width="17.453125" style="36" bestFit="1" customWidth="1"/>
    <col min="11784" max="12017" width="21.6328125" style="36"/>
    <col min="12018" max="12018" width="61" style="36" bestFit="1" customWidth="1"/>
    <col min="12019" max="12019" width="84.453125" style="36" bestFit="1" customWidth="1"/>
    <col min="12020" max="12020" width="17.36328125" style="36" bestFit="1" customWidth="1"/>
    <col min="12021" max="12021" width="13.6328125" style="36" bestFit="1" customWidth="1"/>
    <col min="12022" max="12022" width="12.36328125" style="36" bestFit="1" customWidth="1"/>
    <col min="12023" max="12023" width="19.453125" style="36" bestFit="1" customWidth="1"/>
    <col min="12024" max="12024" width="12.453125" style="36" bestFit="1" customWidth="1"/>
    <col min="12025" max="12025" width="15.453125" style="36" bestFit="1" customWidth="1"/>
    <col min="12026" max="12026" width="16.36328125" style="36" bestFit="1" customWidth="1"/>
    <col min="12027" max="12027" width="19" style="36" bestFit="1" customWidth="1"/>
    <col min="12028" max="12028" width="6" style="36" bestFit="1" customWidth="1"/>
    <col min="12029" max="12029" width="17" style="36" bestFit="1" customWidth="1"/>
    <col min="12030" max="12030" width="8.81640625" style="36" bestFit="1" customWidth="1"/>
    <col min="12031" max="12031" width="19.1796875" style="36" bestFit="1" customWidth="1"/>
    <col min="12032" max="12032" width="13.453125" style="36" bestFit="1" customWidth="1"/>
    <col min="12033" max="12033" width="25" style="36" bestFit="1" customWidth="1"/>
    <col min="12034" max="12034" width="21.1796875" style="36" bestFit="1" customWidth="1"/>
    <col min="12035" max="12035" width="41.1796875" style="36" bestFit="1" customWidth="1"/>
    <col min="12036" max="12036" width="9.36328125" style="36" bestFit="1" customWidth="1"/>
    <col min="12037" max="12037" width="19" style="36" bestFit="1" customWidth="1"/>
    <col min="12038" max="12038" width="7.81640625" style="36" bestFit="1" customWidth="1"/>
    <col min="12039" max="12039" width="17.453125" style="36" bestFit="1" customWidth="1"/>
    <col min="12040" max="12273" width="21.6328125" style="36"/>
    <col min="12274" max="12274" width="61" style="36" bestFit="1" customWidth="1"/>
    <col min="12275" max="12275" width="84.453125" style="36" bestFit="1" customWidth="1"/>
    <col min="12276" max="12276" width="17.36328125" style="36" bestFit="1" customWidth="1"/>
    <col min="12277" max="12277" width="13.6328125" style="36" bestFit="1" customWidth="1"/>
    <col min="12278" max="12278" width="12.36328125" style="36" bestFit="1" customWidth="1"/>
    <col min="12279" max="12279" width="19.453125" style="36" bestFit="1" customWidth="1"/>
    <col min="12280" max="12280" width="12.453125" style="36" bestFit="1" customWidth="1"/>
    <col min="12281" max="12281" width="15.453125" style="36" bestFit="1" customWidth="1"/>
    <col min="12282" max="12282" width="16.36328125" style="36" bestFit="1" customWidth="1"/>
    <col min="12283" max="12283" width="19" style="36" bestFit="1" customWidth="1"/>
    <col min="12284" max="12284" width="6" style="36" bestFit="1" customWidth="1"/>
    <col min="12285" max="12285" width="17" style="36" bestFit="1" customWidth="1"/>
    <col min="12286" max="12286" width="8.81640625" style="36" bestFit="1" customWidth="1"/>
    <col min="12287" max="12287" width="19.1796875" style="36" bestFit="1" customWidth="1"/>
    <col min="12288" max="12288" width="13.453125" style="36" bestFit="1" customWidth="1"/>
    <col min="12289" max="12289" width="25" style="36" bestFit="1" customWidth="1"/>
    <col min="12290" max="12290" width="21.1796875" style="36" bestFit="1" customWidth="1"/>
    <col min="12291" max="12291" width="41.1796875" style="36" bestFit="1" customWidth="1"/>
    <col min="12292" max="12292" width="9.36328125" style="36" bestFit="1" customWidth="1"/>
    <col min="12293" max="12293" width="19" style="36" bestFit="1" customWidth="1"/>
    <col min="12294" max="12294" width="7.81640625" style="36" bestFit="1" customWidth="1"/>
    <col min="12295" max="12295" width="17.453125" style="36" bestFit="1" customWidth="1"/>
    <col min="12296" max="12529" width="21.6328125" style="36"/>
    <col min="12530" max="12530" width="61" style="36" bestFit="1" customWidth="1"/>
    <col min="12531" max="12531" width="84.453125" style="36" bestFit="1" customWidth="1"/>
    <col min="12532" max="12532" width="17.36328125" style="36" bestFit="1" customWidth="1"/>
    <col min="12533" max="12533" width="13.6328125" style="36" bestFit="1" customWidth="1"/>
    <col min="12534" max="12534" width="12.36328125" style="36" bestFit="1" customWidth="1"/>
    <col min="12535" max="12535" width="19.453125" style="36" bestFit="1" customWidth="1"/>
    <col min="12536" max="12536" width="12.453125" style="36" bestFit="1" customWidth="1"/>
    <col min="12537" max="12537" width="15.453125" style="36" bestFit="1" customWidth="1"/>
    <col min="12538" max="12538" width="16.36328125" style="36" bestFit="1" customWidth="1"/>
    <col min="12539" max="12539" width="19" style="36" bestFit="1" customWidth="1"/>
    <col min="12540" max="12540" width="6" style="36" bestFit="1" customWidth="1"/>
    <col min="12541" max="12541" width="17" style="36" bestFit="1" customWidth="1"/>
    <col min="12542" max="12542" width="8.81640625" style="36" bestFit="1" customWidth="1"/>
    <col min="12543" max="12543" width="19.1796875" style="36" bestFit="1" customWidth="1"/>
    <col min="12544" max="12544" width="13.453125" style="36" bestFit="1" customWidth="1"/>
    <col min="12545" max="12545" width="25" style="36" bestFit="1" customWidth="1"/>
    <col min="12546" max="12546" width="21.1796875" style="36" bestFit="1" customWidth="1"/>
    <col min="12547" max="12547" width="41.1796875" style="36" bestFit="1" customWidth="1"/>
    <col min="12548" max="12548" width="9.36328125" style="36" bestFit="1" customWidth="1"/>
    <col min="12549" max="12549" width="19" style="36" bestFit="1" customWidth="1"/>
    <col min="12550" max="12550" width="7.81640625" style="36" bestFit="1" customWidth="1"/>
    <col min="12551" max="12551" width="17.453125" style="36" bestFit="1" customWidth="1"/>
    <col min="12552" max="12785" width="21.6328125" style="36"/>
    <col min="12786" max="12786" width="61" style="36" bestFit="1" customWidth="1"/>
    <col min="12787" max="12787" width="84.453125" style="36" bestFit="1" customWidth="1"/>
    <col min="12788" max="12788" width="17.36328125" style="36" bestFit="1" customWidth="1"/>
    <col min="12789" max="12789" width="13.6328125" style="36" bestFit="1" customWidth="1"/>
    <col min="12790" max="12790" width="12.36328125" style="36" bestFit="1" customWidth="1"/>
    <col min="12791" max="12791" width="19.453125" style="36" bestFit="1" customWidth="1"/>
    <col min="12792" max="12792" width="12.453125" style="36" bestFit="1" customWidth="1"/>
    <col min="12793" max="12793" width="15.453125" style="36" bestFit="1" customWidth="1"/>
    <col min="12794" max="12794" width="16.36328125" style="36" bestFit="1" customWidth="1"/>
    <col min="12795" max="12795" width="19" style="36" bestFit="1" customWidth="1"/>
    <col min="12796" max="12796" width="6" style="36" bestFit="1" customWidth="1"/>
    <col min="12797" max="12797" width="17" style="36" bestFit="1" customWidth="1"/>
    <col min="12798" max="12798" width="8.81640625" style="36" bestFit="1" customWidth="1"/>
    <col min="12799" max="12799" width="19.1796875" style="36" bestFit="1" customWidth="1"/>
    <col min="12800" max="12800" width="13.453125" style="36" bestFit="1" customWidth="1"/>
    <col min="12801" max="12801" width="25" style="36" bestFit="1" customWidth="1"/>
    <col min="12802" max="12802" width="21.1796875" style="36" bestFit="1" customWidth="1"/>
    <col min="12803" max="12803" width="41.1796875" style="36" bestFit="1" customWidth="1"/>
    <col min="12804" max="12804" width="9.36328125" style="36" bestFit="1" customWidth="1"/>
    <col min="12805" max="12805" width="19" style="36" bestFit="1" customWidth="1"/>
    <col min="12806" max="12806" width="7.81640625" style="36" bestFit="1" customWidth="1"/>
    <col min="12807" max="12807" width="17.453125" style="36" bestFit="1" customWidth="1"/>
    <col min="12808" max="13041" width="21.6328125" style="36"/>
    <col min="13042" max="13042" width="61" style="36" bestFit="1" customWidth="1"/>
    <col min="13043" max="13043" width="84.453125" style="36" bestFit="1" customWidth="1"/>
    <col min="13044" max="13044" width="17.36328125" style="36" bestFit="1" customWidth="1"/>
    <col min="13045" max="13045" width="13.6328125" style="36" bestFit="1" customWidth="1"/>
    <col min="13046" max="13046" width="12.36328125" style="36" bestFit="1" customWidth="1"/>
    <col min="13047" max="13047" width="19.453125" style="36" bestFit="1" customWidth="1"/>
    <col min="13048" max="13048" width="12.453125" style="36" bestFit="1" customWidth="1"/>
    <col min="13049" max="13049" width="15.453125" style="36" bestFit="1" customWidth="1"/>
    <col min="13050" max="13050" width="16.36328125" style="36" bestFit="1" customWidth="1"/>
    <col min="13051" max="13051" width="19" style="36" bestFit="1" customWidth="1"/>
    <col min="13052" max="13052" width="6" style="36" bestFit="1" customWidth="1"/>
    <col min="13053" max="13053" width="17" style="36" bestFit="1" customWidth="1"/>
    <col min="13054" max="13054" width="8.81640625" style="36" bestFit="1" customWidth="1"/>
    <col min="13055" max="13055" width="19.1796875" style="36" bestFit="1" customWidth="1"/>
    <col min="13056" max="13056" width="13.453125" style="36" bestFit="1" customWidth="1"/>
    <col min="13057" max="13057" width="25" style="36" bestFit="1" customWidth="1"/>
    <col min="13058" max="13058" width="21.1796875" style="36" bestFit="1" customWidth="1"/>
    <col min="13059" max="13059" width="41.1796875" style="36" bestFit="1" customWidth="1"/>
    <col min="13060" max="13060" width="9.36328125" style="36" bestFit="1" customWidth="1"/>
    <col min="13061" max="13061" width="19" style="36" bestFit="1" customWidth="1"/>
    <col min="13062" max="13062" width="7.81640625" style="36" bestFit="1" customWidth="1"/>
    <col min="13063" max="13063" width="17.453125" style="36" bestFit="1" customWidth="1"/>
    <col min="13064" max="13297" width="21.6328125" style="36"/>
    <col min="13298" max="13298" width="61" style="36" bestFit="1" customWidth="1"/>
    <col min="13299" max="13299" width="84.453125" style="36" bestFit="1" customWidth="1"/>
    <col min="13300" max="13300" width="17.36328125" style="36" bestFit="1" customWidth="1"/>
    <col min="13301" max="13301" width="13.6328125" style="36" bestFit="1" customWidth="1"/>
    <col min="13302" max="13302" width="12.36328125" style="36" bestFit="1" customWidth="1"/>
    <col min="13303" max="13303" width="19.453125" style="36" bestFit="1" customWidth="1"/>
    <col min="13304" max="13304" width="12.453125" style="36" bestFit="1" customWidth="1"/>
    <col min="13305" max="13305" width="15.453125" style="36" bestFit="1" customWidth="1"/>
    <col min="13306" max="13306" width="16.36328125" style="36" bestFit="1" customWidth="1"/>
    <col min="13307" max="13307" width="19" style="36" bestFit="1" customWidth="1"/>
    <col min="13308" max="13308" width="6" style="36" bestFit="1" customWidth="1"/>
    <col min="13309" max="13309" width="17" style="36" bestFit="1" customWidth="1"/>
    <col min="13310" max="13310" width="8.81640625" style="36" bestFit="1" customWidth="1"/>
    <col min="13311" max="13311" width="19.1796875" style="36" bestFit="1" customWidth="1"/>
    <col min="13312" max="13312" width="13.453125" style="36" bestFit="1" customWidth="1"/>
    <col min="13313" max="13313" width="25" style="36" bestFit="1" customWidth="1"/>
    <col min="13314" max="13314" width="21.1796875" style="36" bestFit="1" customWidth="1"/>
    <col min="13315" max="13315" width="41.1796875" style="36" bestFit="1" customWidth="1"/>
    <col min="13316" max="13316" width="9.36328125" style="36" bestFit="1" customWidth="1"/>
    <col min="13317" max="13317" width="19" style="36" bestFit="1" customWidth="1"/>
    <col min="13318" max="13318" width="7.81640625" style="36" bestFit="1" customWidth="1"/>
    <col min="13319" max="13319" width="17.453125" style="36" bestFit="1" customWidth="1"/>
    <col min="13320" max="13553" width="21.6328125" style="36"/>
    <col min="13554" max="13554" width="61" style="36" bestFit="1" customWidth="1"/>
    <col min="13555" max="13555" width="84.453125" style="36" bestFit="1" customWidth="1"/>
    <col min="13556" max="13556" width="17.36328125" style="36" bestFit="1" customWidth="1"/>
    <col min="13557" max="13557" width="13.6328125" style="36" bestFit="1" customWidth="1"/>
    <col min="13558" max="13558" width="12.36328125" style="36" bestFit="1" customWidth="1"/>
    <col min="13559" max="13559" width="19.453125" style="36" bestFit="1" customWidth="1"/>
    <col min="13560" max="13560" width="12.453125" style="36" bestFit="1" customWidth="1"/>
    <col min="13561" max="13561" width="15.453125" style="36" bestFit="1" customWidth="1"/>
    <col min="13562" max="13562" width="16.36328125" style="36" bestFit="1" customWidth="1"/>
    <col min="13563" max="13563" width="19" style="36" bestFit="1" customWidth="1"/>
    <col min="13564" max="13564" width="6" style="36" bestFit="1" customWidth="1"/>
    <col min="13565" max="13565" width="17" style="36" bestFit="1" customWidth="1"/>
    <col min="13566" max="13566" width="8.81640625" style="36" bestFit="1" customWidth="1"/>
    <col min="13567" max="13567" width="19.1796875" style="36" bestFit="1" customWidth="1"/>
    <col min="13568" max="13568" width="13.453125" style="36" bestFit="1" customWidth="1"/>
    <col min="13569" max="13569" width="25" style="36" bestFit="1" customWidth="1"/>
    <col min="13570" max="13570" width="21.1796875" style="36" bestFit="1" customWidth="1"/>
    <col min="13571" max="13571" width="41.1796875" style="36" bestFit="1" customWidth="1"/>
    <col min="13572" max="13572" width="9.36328125" style="36" bestFit="1" customWidth="1"/>
    <col min="13573" max="13573" width="19" style="36" bestFit="1" customWidth="1"/>
    <col min="13574" max="13574" width="7.81640625" style="36" bestFit="1" customWidth="1"/>
    <col min="13575" max="13575" width="17.453125" style="36" bestFit="1" customWidth="1"/>
    <col min="13576" max="13809" width="21.6328125" style="36"/>
    <col min="13810" max="13810" width="61" style="36" bestFit="1" customWidth="1"/>
    <col min="13811" max="13811" width="84.453125" style="36" bestFit="1" customWidth="1"/>
    <col min="13812" max="13812" width="17.36328125" style="36" bestFit="1" customWidth="1"/>
    <col min="13813" max="13813" width="13.6328125" style="36" bestFit="1" customWidth="1"/>
    <col min="13814" max="13814" width="12.36328125" style="36" bestFit="1" customWidth="1"/>
    <col min="13815" max="13815" width="19.453125" style="36" bestFit="1" customWidth="1"/>
    <col min="13816" max="13816" width="12.453125" style="36" bestFit="1" customWidth="1"/>
    <col min="13817" max="13817" width="15.453125" style="36" bestFit="1" customWidth="1"/>
    <col min="13818" max="13818" width="16.36328125" style="36" bestFit="1" customWidth="1"/>
    <col min="13819" max="13819" width="19" style="36" bestFit="1" customWidth="1"/>
    <col min="13820" max="13820" width="6" style="36" bestFit="1" customWidth="1"/>
    <col min="13821" max="13821" width="17" style="36" bestFit="1" customWidth="1"/>
    <col min="13822" max="13822" width="8.81640625" style="36" bestFit="1" customWidth="1"/>
    <col min="13823" max="13823" width="19.1796875" style="36" bestFit="1" customWidth="1"/>
    <col min="13824" max="13824" width="13.453125" style="36" bestFit="1" customWidth="1"/>
    <col min="13825" max="13825" width="25" style="36" bestFit="1" customWidth="1"/>
    <col min="13826" max="13826" width="21.1796875" style="36" bestFit="1" customWidth="1"/>
    <col min="13827" max="13827" width="41.1796875" style="36" bestFit="1" customWidth="1"/>
    <col min="13828" max="13828" width="9.36328125" style="36" bestFit="1" customWidth="1"/>
    <col min="13829" max="13829" width="19" style="36" bestFit="1" customWidth="1"/>
    <col min="13830" max="13830" width="7.81640625" style="36" bestFit="1" customWidth="1"/>
    <col min="13831" max="13831" width="17.453125" style="36" bestFit="1" customWidth="1"/>
    <col min="13832" max="14065" width="21.6328125" style="36"/>
    <col min="14066" max="14066" width="61" style="36" bestFit="1" customWidth="1"/>
    <col min="14067" max="14067" width="84.453125" style="36" bestFit="1" customWidth="1"/>
    <col min="14068" max="14068" width="17.36328125" style="36" bestFit="1" customWidth="1"/>
    <col min="14069" max="14069" width="13.6328125" style="36" bestFit="1" customWidth="1"/>
    <col min="14070" max="14070" width="12.36328125" style="36" bestFit="1" customWidth="1"/>
    <col min="14071" max="14071" width="19.453125" style="36" bestFit="1" customWidth="1"/>
    <col min="14072" max="14072" width="12.453125" style="36" bestFit="1" customWidth="1"/>
    <col min="14073" max="14073" width="15.453125" style="36" bestFit="1" customWidth="1"/>
    <col min="14074" max="14074" width="16.36328125" style="36" bestFit="1" customWidth="1"/>
    <col min="14075" max="14075" width="19" style="36" bestFit="1" customWidth="1"/>
    <col min="14076" max="14076" width="6" style="36" bestFit="1" customWidth="1"/>
    <col min="14077" max="14077" width="17" style="36" bestFit="1" customWidth="1"/>
    <col min="14078" max="14078" width="8.81640625" style="36" bestFit="1" customWidth="1"/>
    <col min="14079" max="14079" width="19.1796875" style="36" bestFit="1" customWidth="1"/>
    <col min="14080" max="14080" width="13.453125" style="36" bestFit="1" customWidth="1"/>
    <col min="14081" max="14081" width="25" style="36" bestFit="1" customWidth="1"/>
    <col min="14082" max="14082" width="21.1796875" style="36" bestFit="1" customWidth="1"/>
    <col min="14083" max="14083" width="41.1796875" style="36" bestFit="1" customWidth="1"/>
    <col min="14084" max="14084" width="9.36328125" style="36" bestFit="1" customWidth="1"/>
    <col min="14085" max="14085" width="19" style="36" bestFit="1" customWidth="1"/>
    <col min="14086" max="14086" width="7.81640625" style="36" bestFit="1" customWidth="1"/>
    <col min="14087" max="14087" width="17.453125" style="36" bestFit="1" customWidth="1"/>
    <col min="14088" max="14321" width="21.6328125" style="36"/>
    <col min="14322" max="14322" width="61" style="36" bestFit="1" customWidth="1"/>
    <col min="14323" max="14323" width="84.453125" style="36" bestFit="1" customWidth="1"/>
    <col min="14324" max="14324" width="17.36328125" style="36" bestFit="1" customWidth="1"/>
    <col min="14325" max="14325" width="13.6328125" style="36" bestFit="1" customWidth="1"/>
    <col min="14326" max="14326" width="12.36328125" style="36" bestFit="1" customWidth="1"/>
    <col min="14327" max="14327" width="19.453125" style="36" bestFit="1" customWidth="1"/>
    <col min="14328" max="14328" width="12.453125" style="36" bestFit="1" customWidth="1"/>
    <col min="14329" max="14329" width="15.453125" style="36" bestFit="1" customWidth="1"/>
    <col min="14330" max="14330" width="16.36328125" style="36" bestFit="1" customWidth="1"/>
    <col min="14331" max="14331" width="19" style="36" bestFit="1" customWidth="1"/>
    <col min="14332" max="14332" width="6" style="36" bestFit="1" customWidth="1"/>
    <col min="14333" max="14333" width="17" style="36" bestFit="1" customWidth="1"/>
    <col min="14334" max="14334" width="8.81640625" style="36" bestFit="1" customWidth="1"/>
    <col min="14335" max="14335" width="19.1796875" style="36" bestFit="1" customWidth="1"/>
    <col min="14336" max="14336" width="13.453125" style="36" bestFit="1" customWidth="1"/>
    <col min="14337" max="14337" width="25" style="36" bestFit="1" customWidth="1"/>
    <col min="14338" max="14338" width="21.1796875" style="36" bestFit="1" customWidth="1"/>
    <col min="14339" max="14339" width="41.1796875" style="36" bestFit="1" customWidth="1"/>
    <col min="14340" max="14340" width="9.36328125" style="36" bestFit="1" customWidth="1"/>
    <col min="14341" max="14341" width="19" style="36" bestFit="1" customWidth="1"/>
    <col min="14342" max="14342" width="7.81640625" style="36" bestFit="1" customWidth="1"/>
    <col min="14343" max="14343" width="17.453125" style="36" bestFit="1" customWidth="1"/>
    <col min="14344" max="14577" width="21.6328125" style="36"/>
    <col min="14578" max="14578" width="61" style="36" bestFit="1" customWidth="1"/>
    <col min="14579" max="14579" width="84.453125" style="36" bestFit="1" customWidth="1"/>
    <col min="14580" max="14580" width="17.36328125" style="36" bestFit="1" customWidth="1"/>
    <col min="14581" max="14581" width="13.6328125" style="36" bestFit="1" customWidth="1"/>
    <col min="14582" max="14582" width="12.36328125" style="36" bestFit="1" customWidth="1"/>
    <col min="14583" max="14583" width="19.453125" style="36" bestFit="1" customWidth="1"/>
    <col min="14584" max="14584" width="12.453125" style="36" bestFit="1" customWidth="1"/>
    <col min="14585" max="14585" width="15.453125" style="36" bestFit="1" customWidth="1"/>
    <col min="14586" max="14586" width="16.36328125" style="36" bestFit="1" customWidth="1"/>
    <col min="14587" max="14587" width="19" style="36" bestFit="1" customWidth="1"/>
    <col min="14588" max="14588" width="6" style="36" bestFit="1" customWidth="1"/>
    <col min="14589" max="14589" width="17" style="36" bestFit="1" customWidth="1"/>
    <col min="14590" max="14590" width="8.81640625" style="36" bestFit="1" customWidth="1"/>
    <col min="14591" max="14591" width="19.1796875" style="36" bestFit="1" customWidth="1"/>
    <col min="14592" max="14592" width="13.453125" style="36" bestFit="1" customWidth="1"/>
    <col min="14593" max="14593" width="25" style="36" bestFit="1" customWidth="1"/>
    <col min="14594" max="14594" width="21.1796875" style="36" bestFit="1" customWidth="1"/>
    <col min="14595" max="14595" width="41.1796875" style="36" bestFit="1" customWidth="1"/>
    <col min="14596" max="14596" width="9.36328125" style="36" bestFit="1" customWidth="1"/>
    <col min="14597" max="14597" width="19" style="36" bestFit="1" customWidth="1"/>
    <col min="14598" max="14598" width="7.81640625" style="36" bestFit="1" customWidth="1"/>
    <col min="14599" max="14599" width="17.453125" style="36" bestFit="1" customWidth="1"/>
    <col min="14600" max="14833" width="21.6328125" style="36"/>
    <col min="14834" max="14834" width="61" style="36" bestFit="1" customWidth="1"/>
    <col min="14835" max="14835" width="84.453125" style="36" bestFit="1" customWidth="1"/>
    <col min="14836" max="14836" width="17.36328125" style="36" bestFit="1" customWidth="1"/>
    <col min="14837" max="14837" width="13.6328125" style="36" bestFit="1" customWidth="1"/>
    <col min="14838" max="14838" width="12.36328125" style="36" bestFit="1" customWidth="1"/>
    <col min="14839" max="14839" width="19.453125" style="36" bestFit="1" customWidth="1"/>
    <col min="14840" max="14840" width="12.453125" style="36" bestFit="1" customWidth="1"/>
    <col min="14841" max="14841" width="15.453125" style="36" bestFit="1" customWidth="1"/>
    <col min="14842" max="14842" width="16.36328125" style="36" bestFit="1" customWidth="1"/>
    <col min="14843" max="14843" width="19" style="36" bestFit="1" customWidth="1"/>
    <col min="14844" max="14844" width="6" style="36" bestFit="1" customWidth="1"/>
    <col min="14845" max="14845" width="17" style="36" bestFit="1" customWidth="1"/>
    <col min="14846" max="14846" width="8.81640625" style="36" bestFit="1" customWidth="1"/>
    <col min="14847" max="14847" width="19.1796875" style="36" bestFit="1" customWidth="1"/>
    <col min="14848" max="14848" width="13.453125" style="36" bestFit="1" customWidth="1"/>
    <col min="14849" max="14849" width="25" style="36" bestFit="1" customWidth="1"/>
    <col min="14850" max="14850" width="21.1796875" style="36" bestFit="1" customWidth="1"/>
    <col min="14851" max="14851" width="41.1796875" style="36" bestFit="1" customWidth="1"/>
    <col min="14852" max="14852" width="9.36328125" style="36" bestFit="1" customWidth="1"/>
    <col min="14853" max="14853" width="19" style="36" bestFit="1" customWidth="1"/>
    <col min="14854" max="14854" width="7.81640625" style="36" bestFit="1" customWidth="1"/>
    <col min="14855" max="14855" width="17.453125" style="36" bestFit="1" customWidth="1"/>
    <col min="14856" max="15089" width="21.6328125" style="36"/>
    <col min="15090" max="15090" width="61" style="36" bestFit="1" customWidth="1"/>
    <col min="15091" max="15091" width="84.453125" style="36" bestFit="1" customWidth="1"/>
    <col min="15092" max="15092" width="17.36328125" style="36" bestFit="1" customWidth="1"/>
    <col min="15093" max="15093" width="13.6328125" style="36" bestFit="1" customWidth="1"/>
    <col min="15094" max="15094" width="12.36328125" style="36" bestFit="1" customWidth="1"/>
    <col min="15095" max="15095" width="19.453125" style="36" bestFit="1" customWidth="1"/>
    <col min="15096" max="15096" width="12.453125" style="36" bestFit="1" customWidth="1"/>
    <col min="15097" max="15097" width="15.453125" style="36" bestFit="1" customWidth="1"/>
    <col min="15098" max="15098" width="16.36328125" style="36" bestFit="1" customWidth="1"/>
    <col min="15099" max="15099" width="19" style="36" bestFit="1" customWidth="1"/>
    <col min="15100" max="15100" width="6" style="36" bestFit="1" customWidth="1"/>
    <col min="15101" max="15101" width="17" style="36" bestFit="1" customWidth="1"/>
    <col min="15102" max="15102" width="8.81640625" style="36" bestFit="1" customWidth="1"/>
    <col min="15103" max="15103" width="19.1796875" style="36" bestFit="1" customWidth="1"/>
    <col min="15104" max="15104" width="13.453125" style="36" bestFit="1" customWidth="1"/>
    <col min="15105" max="15105" width="25" style="36" bestFit="1" customWidth="1"/>
    <col min="15106" max="15106" width="21.1796875" style="36" bestFit="1" customWidth="1"/>
    <col min="15107" max="15107" width="41.1796875" style="36" bestFit="1" customWidth="1"/>
    <col min="15108" max="15108" width="9.36328125" style="36" bestFit="1" customWidth="1"/>
    <col min="15109" max="15109" width="19" style="36" bestFit="1" customWidth="1"/>
    <col min="15110" max="15110" width="7.81640625" style="36" bestFit="1" customWidth="1"/>
    <col min="15111" max="15111" width="17.453125" style="36" bestFit="1" customWidth="1"/>
    <col min="15112" max="15345" width="21.6328125" style="36"/>
    <col min="15346" max="15346" width="61" style="36" bestFit="1" customWidth="1"/>
    <col min="15347" max="15347" width="84.453125" style="36" bestFit="1" customWidth="1"/>
    <col min="15348" max="15348" width="17.36328125" style="36" bestFit="1" customWidth="1"/>
    <col min="15349" max="15349" width="13.6328125" style="36" bestFit="1" customWidth="1"/>
    <col min="15350" max="15350" width="12.36328125" style="36" bestFit="1" customWidth="1"/>
    <col min="15351" max="15351" width="19.453125" style="36" bestFit="1" customWidth="1"/>
    <col min="15352" max="15352" width="12.453125" style="36" bestFit="1" customWidth="1"/>
    <col min="15353" max="15353" width="15.453125" style="36" bestFit="1" customWidth="1"/>
    <col min="15354" max="15354" width="16.36328125" style="36" bestFit="1" customWidth="1"/>
    <col min="15355" max="15355" width="19" style="36" bestFit="1" customWidth="1"/>
    <col min="15356" max="15356" width="6" style="36" bestFit="1" customWidth="1"/>
    <col min="15357" max="15357" width="17" style="36" bestFit="1" customWidth="1"/>
    <col min="15358" max="15358" width="8.81640625" style="36" bestFit="1" customWidth="1"/>
    <col min="15359" max="15359" width="19.1796875" style="36" bestFit="1" customWidth="1"/>
    <col min="15360" max="15360" width="13.453125" style="36" bestFit="1" customWidth="1"/>
    <col min="15361" max="15361" width="25" style="36" bestFit="1" customWidth="1"/>
    <col min="15362" max="15362" width="21.1796875" style="36" bestFit="1" customWidth="1"/>
    <col min="15363" max="15363" width="41.1796875" style="36" bestFit="1" customWidth="1"/>
    <col min="15364" max="15364" width="9.36328125" style="36" bestFit="1" customWidth="1"/>
    <col min="15365" max="15365" width="19" style="36" bestFit="1" customWidth="1"/>
    <col min="15366" max="15366" width="7.81640625" style="36" bestFit="1" customWidth="1"/>
    <col min="15367" max="15367" width="17.453125" style="36" bestFit="1" customWidth="1"/>
    <col min="15368" max="15601" width="21.6328125" style="36"/>
    <col min="15602" max="15602" width="61" style="36" bestFit="1" customWidth="1"/>
    <col min="15603" max="15603" width="84.453125" style="36" bestFit="1" customWidth="1"/>
    <col min="15604" max="15604" width="17.36328125" style="36" bestFit="1" customWidth="1"/>
    <col min="15605" max="15605" width="13.6328125" style="36" bestFit="1" customWidth="1"/>
    <col min="15606" max="15606" width="12.36328125" style="36" bestFit="1" customWidth="1"/>
    <col min="15607" max="15607" width="19.453125" style="36" bestFit="1" customWidth="1"/>
    <col min="15608" max="15608" width="12.453125" style="36" bestFit="1" customWidth="1"/>
    <col min="15609" max="15609" width="15.453125" style="36" bestFit="1" customWidth="1"/>
    <col min="15610" max="15610" width="16.36328125" style="36" bestFit="1" customWidth="1"/>
    <col min="15611" max="15611" width="19" style="36" bestFit="1" customWidth="1"/>
    <col min="15612" max="15612" width="6" style="36" bestFit="1" customWidth="1"/>
    <col min="15613" max="15613" width="17" style="36" bestFit="1" customWidth="1"/>
    <col min="15614" max="15614" width="8.81640625" style="36" bestFit="1" customWidth="1"/>
    <col min="15615" max="15615" width="19.1796875" style="36" bestFit="1" customWidth="1"/>
    <col min="15616" max="15616" width="13.453125" style="36" bestFit="1" customWidth="1"/>
    <col min="15617" max="15617" width="25" style="36" bestFit="1" customWidth="1"/>
    <col min="15618" max="15618" width="21.1796875" style="36" bestFit="1" customWidth="1"/>
    <col min="15619" max="15619" width="41.1796875" style="36" bestFit="1" customWidth="1"/>
    <col min="15620" max="15620" width="9.36328125" style="36" bestFit="1" customWidth="1"/>
    <col min="15621" max="15621" width="19" style="36" bestFit="1" customWidth="1"/>
    <col min="15622" max="15622" width="7.81640625" style="36" bestFit="1" customWidth="1"/>
    <col min="15623" max="15623" width="17.453125" style="36" bestFit="1" customWidth="1"/>
    <col min="15624" max="15857" width="21.6328125" style="36"/>
    <col min="15858" max="15858" width="61" style="36" bestFit="1" customWidth="1"/>
    <col min="15859" max="15859" width="84.453125" style="36" bestFit="1" customWidth="1"/>
    <col min="15860" max="15860" width="17.36328125" style="36" bestFit="1" customWidth="1"/>
    <col min="15861" max="15861" width="13.6328125" style="36" bestFit="1" customWidth="1"/>
    <col min="15862" max="15862" width="12.36328125" style="36" bestFit="1" customWidth="1"/>
    <col min="15863" max="15863" width="19.453125" style="36" bestFit="1" customWidth="1"/>
    <col min="15864" max="15864" width="12.453125" style="36" bestFit="1" customWidth="1"/>
    <col min="15865" max="15865" width="15.453125" style="36" bestFit="1" customWidth="1"/>
    <col min="15866" max="15866" width="16.36328125" style="36" bestFit="1" customWidth="1"/>
    <col min="15867" max="15867" width="19" style="36" bestFit="1" customWidth="1"/>
    <col min="15868" max="15868" width="6" style="36" bestFit="1" customWidth="1"/>
    <col min="15869" max="15869" width="17" style="36" bestFit="1" customWidth="1"/>
    <col min="15870" max="15870" width="8.81640625" style="36" bestFit="1" customWidth="1"/>
    <col min="15871" max="15871" width="19.1796875" style="36" bestFit="1" customWidth="1"/>
    <col min="15872" max="15872" width="13.453125" style="36" bestFit="1" customWidth="1"/>
    <col min="15873" max="15873" width="25" style="36" bestFit="1" customWidth="1"/>
    <col min="15874" max="15874" width="21.1796875" style="36" bestFit="1" customWidth="1"/>
    <col min="15875" max="15875" width="41.1796875" style="36" bestFit="1" customWidth="1"/>
    <col min="15876" max="15876" width="9.36328125" style="36" bestFit="1" customWidth="1"/>
    <col min="15877" max="15877" width="19" style="36" bestFit="1" customWidth="1"/>
    <col min="15878" max="15878" width="7.81640625" style="36" bestFit="1" customWidth="1"/>
    <col min="15879" max="15879" width="17.453125" style="36" bestFit="1" customWidth="1"/>
    <col min="15880" max="16113" width="21.6328125" style="36"/>
    <col min="16114" max="16114" width="61" style="36" bestFit="1" customWidth="1"/>
    <col min="16115" max="16115" width="84.453125" style="36" bestFit="1" customWidth="1"/>
    <col min="16116" max="16116" width="17.36328125" style="36" bestFit="1" customWidth="1"/>
    <col min="16117" max="16117" width="13.6328125" style="36" bestFit="1" customWidth="1"/>
    <col min="16118" max="16118" width="12.36328125" style="36" bestFit="1" customWidth="1"/>
    <col min="16119" max="16119" width="19.453125" style="36" bestFit="1" customWidth="1"/>
    <col min="16120" max="16120" width="12.453125" style="36" bestFit="1" customWidth="1"/>
    <col min="16121" max="16121" width="15.453125" style="36" bestFit="1" customWidth="1"/>
    <col min="16122" max="16122" width="16.36328125" style="36" bestFit="1" customWidth="1"/>
    <col min="16123" max="16123" width="19" style="36" bestFit="1" customWidth="1"/>
    <col min="16124" max="16124" width="6" style="36" bestFit="1" customWidth="1"/>
    <col min="16125" max="16125" width="17" style="36" bestFit="1" customWidth="1"/>
    <col min="16126" max="16126" width="8.81640625" style="36" bestFit="1" customWidth="1"/>
    <col min="16127" max="16127" width="19.1796875" style="36" bestFit="1" customWidth="1"/>
    <col min="16128" max="16128" width="13.453125" style="36" bestFit="1" customWidth="1"/>
    <col min="16129" max="16129" width="25" style="36" bestFit="1" customWidth="1"/>
    <col min="16130" max="16130" width="21.1796875" style="36" bestFit="1" customWidth="1"/>
    <col min="16131" max="16131" width="41.1796875" style="36" bestFit="1" customWidth="1"/>
    <col min="16132" max="16132" width="9.36328125" style="36" bestFit="1" customWidth="1"/>
    <col min="16133" max="16133" width="19" style="36" bestFit="1" customWidth="1"/>
    <col min="16134" max="16134" width="7.81640625" style="36" bestFit="1" customWidth="1"/>
    <col min="16135" max="16135" width="17.453125" style="36" bestFit="1" customWidth="1"/>
    <col min="16136" max="16384" width="21.6328125" style="36"/>
  </cols>
  <sheetData>
    <row r="1" spans="1:16" x14ac:dyDescent="0.25">
      <c r="A1" s="26" t="s">
        <v>28</v>
      </c>
      <c r="B1" s="27" t="s">
        <v>29</v>
      </c>
      <c r="C1" s="27" t="s">
        <v>30</v>
      </c>
      <c r="D1" s="27" t="s">
        <v>31</v>
      </c>
      <c r="E1" s="27" t="s">
        <v>32</v>
      </c>
      <c r="F1" s="27" t="s">
        <v>33</v>
      </c>
      <c r="G1" s="27" t="s">
        <v>34</v>
      </c>
      <c r="H1" s="27" t="s">
        <v>35</v>
      </c>
      <c r="I1" s="27" t="s">
        <v>36</v>
      </c>
      <c r="J1" s="27" t="s">
        <v>37</v>
      </c>
      <c r="K1" s="27" t="s">
        <v>38</v>
      </c>
      <c r="L1" s="27" t="s">
        <v>39</v>
      </c>
      <c r="M1" s="27" t="s">
        <v>40</v>
      </c>
      <c r="N1" s="27" t="s">
        <v>41</v>
      </c>
      <c r="O1" s="27" t="s">
        <v>42</v>
      </c>
      <c r="P1" s="27" t="s">
        <v>680</v>
      </c>
    </row>
    <row r="2" spans="1:16" x14ac:dyDescent="0.25">
      <c r="A2" s="36" t="s">
        <v>630</v>
      </c>
      <c r="B2" s="23" t="s">
        <v>17</v>
      </c>
      <c r="C2" s="46" t="s">
        <v>0</v>
      </c>
      <c r="D2" s="46" t="s">
        <v>62</v>
      </c>
      <c r="E2" s="46" t="s">
        <v>15</v>
      </c>
      <c r="F2" s="46" t="s">
        <v>412</v>
      </c>
      <c r="G2" s="58" t="s">
        <v>699</v>
      </c>
      <c r="H2" s="46" t="s">
        <v>47</v>
      </c>
      <c r="I2" s="46" t="s">
        <v>632</v>
      </c>
      <c r="J2" s="4">
        <v>1113</v>
      </c>
      <c r="K2" s="28">
        <v>41626</v>
      </c>
      <c r="L2" s="22"/>
      <c r="M2" s="46" t="s">
        <v>24</v>
      </c>
      <c r="N2" s="46" t="s">
        <v>16</v>
      </c>
      <c r="P2" s="2">
        <v>0.03</v>
      </c>
    </row>
    <row r="3" spans="1:16" x14ac:dyDescent="0.25">
      <c r="A3" s="36" t="s">
        <v>458</v>
      </c>
      <c r="B3" s="23" t="s">
        <v>17</v>
      </c>
      <c r="C3" s="46" t="s">
        <v>139</v>
      </c>
      <c r="D3" s="46" t="s">
        <v>44</v>
      </c>
      <c r="E3" s="46" t="s">
        <v>372</v>
      </c>
      <c r="F3" s="46" t="s">
        <v>115</v>
      </c>
      <c r="G3" s="56" t="s">
        <v>700</v>
      </c>
      <c r="H3" s="46" t="s">
        <v>134</v>
      </c>
      <c r="I3" s="46" t="s">
        <v>460</v>
      </c>
      <c r="J3" s="4">
        <v>1583</v>
      </c>
      <c r="K3" s="28">
        <v>42096</v>
      </c>
      <c r="L3" s="22"/>
      <c r="M3" s="46" t="s">
        <v>24</v>
      </c>
      <c r="N3" s="46" t="s">
        <v>2</v>
      </c>
      <c r="O3" s="46">
        <v>1E-3</v>
      </c>
      <c r="P3" s="2">
        <v>0.05</v>
      </c>
    </row>
    <row r="4" spans="1:16" x14ac:dyDescent="0.25">
      <c r="A4" s="36" t="s">
        <v>644</v>
      </c>
      <c r="B4" s="23" t="s">
        <v>17</v>
      </c>
      <c r="C4" s="46" t="s">
        <v>358</v>
      </c>
      <c r="D4" s="46" t="s">
        <v>56</v>
      </c>
      <c r="E4" s="46" t="s">
        <v>15</v>
      </c>
      <c r="F4" s="46" t="s">
        <v>108</v>
      </c>
      <c r="G4" s="46" t="s">
        <v>645</v>
      </c>
      <c r="H4" s="46" t="s">
        <v>47</v>
      </c>
      <c r="I4" s="46" t="s">
        <v>646</v>
      </c>
      <c r="J4" s="4">
        <v>1790</v>
      </c>
      <c r="K4" s="28">
        <v>42303</v>
      </c>
      <c r="L4" s="22"/>
      <c r="M4" s="46" t="s">
        <v>54</v>
      </c>
      <c r="N4" s="46" t="s">
        <v>16</v>
      </c>
      <c r="P4" s="2"/>
    </row>
    <row r="5" spans="1:16" x14ac:dyDescent="0.25">
      <c r="A5" s="36" t="s">
        <v>644</v>
      </c>
      <c r="B5" s="23" t="s">
        <v>17</v>
      </c>
      <c r="C5" s="46" t="s">
        <v>358</v>
      </c>
      <c r="D5" s="46" t="s">
        <v>56</v>
      </c>
      <c r="E5" s="46" t="s">
        <v>15</v>
      </c>
      <c r="F5" s="46" t="s">
        <v>84</v>
      </c>
      <c r="G5" s="46" t="s">
        <v>647</v>
      </c>
      <c r="H5" s="46" t="s">
        <v>47</v>
      </c>
      <c r="I5" s="46" t="s">
        <v>646</v>
      </c>
      <c r="J5" s="4">
        <v>1060</v>
      </c>
      <c r="K5" s="28">
        <v>41573</v>
      </c>
      <c r="L5" s="22"/>
      <c r="M5" s="46" t="s">
        <v>22</v>
      </c>
      <c r="N5" s="46" t="s">
        <v>16</v>
      </c>
      <c r="P5" s="2"/>
    </row>
    <row r="6" spans="1:16" x14ac:dyDescent="0.25">
      <c r="A6" s="36" t="s">
        <v>500</v>
      </c>
      <c r="B6" s="23" t="s">
        <v>17</v>
      </c>
      <c r="C6" s="46" t="s">
        <v>0</v>
      </c>
      <c r="D6" s="46" t="s">
        <v>56</v>
      </c>
      <c r="E6" s="46" t="s">
        <v>15</v>
      </c>
      <c r="F6" s="46" t="s">
        <v>304</v>
      </c>
      <c r="G6" s="46" t="s">
        <v>506</v>
      </c>
      <c r="H6" s="46" t="s">
        <v>47</v>
      </c>
      <c r="I6" s="46" t="s">
        <v>502</v>
      </c>
      <c r="J6" s="4">
        <v>884</v>
      </c>
      <c r="K6" s="28">
        <v>41397</v>
      </c>
      <c r="L6" s="22"/>
      <c r="M6" s="46" t="s">
        <v>23</v>
      </c>
      <c r="N6" s="46" t="s">
        <v>16</v>
      </c>
      <c r="O6" s="46">
        <v>1E-3</v>
      </c>
      <c r="P6" s="2">
        <v>0.05</v>
      </c>
    </row>
    <row r="7" spans="1:16" x14ac:dyDescent="0.25">
      <c r="A7" s="36" t="s">
        <v>479</v>
      </c>
      <c r="B7" s="23" t="s">
        <v>17</v>
      </c>
      <c r="C7" s="46" t="s">
        <v>139</v>
      </c>
      <c r="D7" s="46" t="s">
        <v>62</v>
      </c>
      <c r="E7" s="46" t="s">
        <v>63</v>
      </c>
      <c r="F7" s="46" t="s">
        <v>378</v>
      </c>
      <c r="G7" s="46" t="s">
        <v>480</v>
      </c>
      <c r="H7" s="46" t="s">
        <v>477</v>
      </c>
      <c r="I7" s="46" t="s">
        <v>481</v>
      </c>
      <c r="J7" s="4">
        <v>4760</v>
      </c>
      <c r="K7" s="28">
        <v>45273</v>
      </c>
      <c r="L7" s="22"/>
      <c r="M7" s="46" t="s">
        <v>23</v>
      </c>
      <c r="N7" s="46" t="s">
        <v>662</v>
      </c>
      <c r="O7" s="46">
        <v>1E-3</v>
      </c>
      <c r="P7" s="2">
        <v>0.05</v>
      </c>
    </row>
    <row r="8" spans="1:16" x14ac:dyDescent="0.25">
      <c r="A8" s="36" t="s">
        <v>479</v>
      </c>
      <c r="B8" s="23" t="s">
        <v>17</v>
      </c>
      <c r="C8" s="46" t="s">
        <v>139</v>
      </c>
      <c r="D8" s="46" t="s">
        <v>62</v>
      </c>
      <c r="E8" s="46" t="s">
        <v>63</v>
      </c>
      <c r="F8" s="46" t="s">
        <v>51</v>
      </c>
      <c r="G8" s="46" t="s">
        <v>482</v>
      </c>
      <c r="H8" s="46" t="s">
        <v>477</v>
      </c>
      <c r="I8" s="46" t="s">
        <v>481</v>
      </c>
      <c r="J8" s="4">
        <v>4760</v>
      </c>
      <c r="K8" s="28">
        <v>45273</v>
      </c>
      <c r="L8" s="22"/>
      <c r="M8" s="46" t="s">
        <v>22</v>
      </c>
      <c r="N8" s="46" t="s">
        <v>662</v>
      </c>
      <c r="O8" s="46">
        <v>1E-3</v>
      </c>
      <c r="P8" s="2">
        <v>0.05</v>
      </c>
    </row>
    <row r="9" spans="1:16" x14ac:dyDescent="0.25">
      <c r="A9" s="36" t="s">
        <v>479</v>
      </c>
      <c r="B9" s="23" t="s">
        <v>17</v>
      </c>
      <c r="C9" s="46" t="s">
        <v>139</v>
      </c>
      <c r="D9" s="46" t="s">
        <v>62</v>
      </c>
      <c r="E9" s="46" t="s">
        <v>63</v>
      </c>
      <c r="F9" s="46" t="s">
        <v>394</v>
      </c>
      <c r="G9" s="46" t="s">
        <v>483</v>
      </c>
      <c r="H9" s="46" t="s">
        <v>477</v>
      </c>
      <c r="I9" s="46" t="s">
        <v>481</v>
      </c>
      <c r="J9" s="4">
        <v>3665</v>
      </c>
      <c r="K9" s="28">
        <v>44178</v>
      </c>
      <c r="L9" s="22"/>
      <c r="M9" s="46" t="s">
        <v>23</v>
      </c>
      <c r="N9" s="46" t="s">
        <v>662</v>
      </c>
      <c r="O9" s="46">
        <v>1E-3</v>
      </c>
      <c r="P9" s="2">
        <v>0.05</v>
      </c>
    </row>
    <row r="10" spans="1:16" x14ac:dyDescent="0.25">
      <c r="A10" s="36" t="s">
        <v>479</v>
      </c>
      <c r="B10" s="23" t="s">
        <v>17</v>
      </c>
      <c r="C10" s="46" t="s">
        <v>139</v>
      </c>
      <c r="D10" s="46" t="s">
        <v>62</v>
      </c>
      <c r="E10" s="46" t="s">
        <v>63</v>
      </c>
      <c r="F10" s="46" t="s">
        <v>80</v>
      </c>
      <c r="G10" s="46" t="s">
        <v>484</v>
      </c>
      <c r="H10" s="46" t="s">
        <v>477</v>
      </c>
      <c r="I10" s="46" t="s">
        <v>481</v>
      </c>
      <c r="J10" s="4">
        <v>2569</v>
      </c>
      <c r="K10" s="28">
        <v>43082</v>
      </c>
      <c r="L10" s="22"/>
      <c r="M10" s="46" t="s">
        <v>24</v>
      </c>
      <c r="N10" s="46" t="s">
        <v>662</v>
      </c>
      <c r="O10" s="46">
        <v>1E-3</v>
      </c>
      <c r="P10" s="2">
        <v>0.05</v>
      </c>
    </row>
    <row r="11" spans="1:16" x14ac:dyDescent="0.25">
      <c r="A11" s="36" t="s">
        <v>330</v>
      </c>
      <c r="B11" s="47" t="s">
        <v>13</v>
      </c>
      <c r="C11" s="46" t="s">
        <v>366</v>
      </c>
      <c r="D11" s="46" t="s">
        <v>68</v>
      </c>
      <c r="E11" s="46" t="s">
        <v>63</v>
      </c>
      <c r="F11" s="46" t="s">
        <v>278</v>
      </c>
      <c r="G11" s="46" t="s">
        <v>334</v>
      </c>
      <c r="H11" s="46" t="s">
        <v>190</v>
      </c>
      <c r="I11" s="46" t="s">
        <v>333</v>
      </c>
      <c r="J11" s="4">
        <v>1</v>
      </c>
      <c r="K11" s="28">
        <v>40514</v>
      </c>
      <c r="L11" s="13" t="s">
        <v>21</v>
      </c>
      <c r="M11" s="46" t="s">
        <v>24</v>
      </c>
      <c r="N11" s="46" t="s">
        <v>662</v>
      </c>
      <c r="O11" s="48"/>
      <c r="P11" s="2"/>
    </row>
    <row r="12" spans="1:16" x14ac:dyDescent="0.25">
      <c r="A12" s="36" t="s">
        <v>679</v>
      </c>
      <c r="B12" s="23" t="s">
        <v>17</v>
      </c>
      <c r="C12" s="46" t="s">
        <v>139</v>
      </c>
      <c r="D12" s="46" t="s">
        <v>68</v>
      </c>
      <c r="E12" s="46" t="s">
        <v>15</v>
      </c>
      <c r="F12" s="46" t="s">
        <v>572</v>
      </c>
      <c r="G12" s="46" t="s">
        <v>573</v>
      </c>
      <c r="H12" s="46" t="s">
        <v>47</v>
      </c>
      <c r="I12" s="46" t="s">
        <v>571</v>
      </c>
      <c r="J12" s="4">
        <v>1101</v>
      </c>
      <c r="K12" s="28">
        <v>41614</v>
      </c>
      <c r="L12" s="22"/>
      <c r="M12" s="46" t="s">
        <v>54</v>
      </c>
      <c r="N12" s="46" t="s">
        <v>16</v>
      </c>
      <c r="O12" s="46">
        <v>1E-3</v>
      </c>
      <c r="P12" s="2">
        <v>0.05</v>
      </c>
    </row>
    <row r="13" spans="1:16" x14ac:dyDescent="0.25">
      <c r="A13" s="36" t="s">
        <v>679</v>
      </c>
      <c r="B13" s="23" t="s">
        <v>17</v>
      </c>
      <c r="C13" s="46" t="s">
        <v>139</v>
      </c>
      <c r="D13" s="46" t="s">
        <v>68</v>
      </c>
      <c r="E13" s="46" t="s">
        <v>15</v>
      </c>
      <c r="F13" s="46" t="s">
        <v>387</v>
      </c>
      <c r="G13" s="46" t="s">
        <v>574</v>
      </c>
      <c r="H13" s="46" t="s">
        <v>47</v>
      </c>
      <c r="I13" s="46" t="s">
        <v>571</v>
      </c>
      <c r="J13" s="4">
        <v>1101</v>
      </c>
      <c r="K13" s="28">
        <v>41614</v>
      </c>
      <c r="L13" s="22"/>
      <c r="M13" s="46" t="s">
        <v>23</v>
      </c>
      <c r="N13" s="46" t="s">
        <v>16</v>
      </c>
      <c r="O13" s="46">
        <v>1E-3</v>
      </c>
      <c r="P13" s="2">
        <v>0.05</v>
      </c>
    </row>
    <row r="14" spans="1:16" x14ac:dyDescent="0.25">
      <c r="A14" s="36" t="s">
        <v>583</v>
      </c>
      <c r="B14" s="23" t="s">
        <v>17</v>
      </c>
      <c r="C14" s="46" t="s">
        <v>0</v>
      </c>
      <c r="D14" s="46" t="s">
        <v>44</v>
      </c>
      <c r="E14" s="46" t="s">
        <v>15</v>
      </c>
      <c r="F14" s="46" t="s">
        <v>387</v>
      </c>
      <c r="G14" s="46" t="s">
        <v>584</v>
      </c>
      <c r="H14" s="46" t="s">
        <v>47</v>
      </c>
      <c r="I14" s="46" t="s">
        <v>585</v>
      </c>
      <c r="J14" s="4">
        <v>1461</v>
      </c>
      <c r="K14" s="28">
        <v>41974</v>
      </c>
      <c r="L14" s="22"/>
      <c r="M14" s="46" t="s">
        <v>23</v>
      </c>
      <c r="N14" s="46" t="s">
        <v>16</v>
      </c>
      <c r="O14" s="46">
        <v>1E-3</v>
      </c>
      <c r="P14" s="2">
        <v>0.05</v>
      </c>
    </row>
    <row r="15" spans="1:16" x14ac:dyDescent="0.25">
      <c r="A15" s="36" t="s">
        <v>583</v>
      </c>
      <c r="B15" s="23" t="s">
        <v>17</v>
      </c>
      <c r="C15" s="46" t="s">
        <v>0</v>
      </c>
      <c r="D15" s="46" t="s">
        <v>44</v>
      </c>
      <c r="E15" s="46" t="s">
        <v>15</v>
      </c>
      <c r="F15" s="46" t="s">
        <v>393</v>
      </c>
      <c r="G15" s="46" t="s">
        <v>586</v>
      </c>
      <c r="H15" s="46" t="s">
        <v>47</v>
      </c>
      <c r="I15" s="46" t="s">
        <v>585</v>
      </c>
      <c r="J15" s="4">
        <v>1096</v>
      </c>
      <c r="K15" s="28">
        <v>41609</v>
      </c>
      <c r="L15" s="22"/>
      <c r="M15" s="46" t="s">
        <v>24</v>
      </c>
      <c r="N15" s="46" t="s">
        <v>16</v>
      </c>
      <c r="O15" s="46">
        <v>1E-3</v>
      </c>
      <c r="P15" s="2">
        <v>0.05</v>
      </c>
    </row>
    <row r="16" spans="1:16" x14ac:dyDescent="0.25">
      <c r="A16" s="36" t="s">
        <v>583</v>
      </c>
      <c r="B16" s="23" t="s">
        <v>17</v>
      </c>
      <c r="C16" s="46" t="s">
        <v>0</v>
      </c>
      <c r="D16" s="46" t="s">
        <v>44</v>
      </c>
      <c r="E16" s="46" t="s">
        <v>15</v>
      </c>
      <c r="F16" s="46" t="s">
        <v>44</v>
      </c>
      <c r="G16" s="46" t="s">
        <v>587</v>
      </c>
      <c r="H16" s="46" t="s">
        <v>47</v>
      </c>
      <c r="I16" s="46" t="s">
        <v>585</v>
      </c>
      <c r="J16" s="4">
        <v>1096</v>
      </c>
      <c r="K16" s="28">
        <v>41609</v>
      </c>
      <c r="L16" s="22"/>
      <c r="M16" s="46" t="s">
        <v>54</v>
      </c>
      <c r="N16" s="46" t="s">
        <v>16</v>
      </c>
      <c r="O16" s="46">
        <v>1E-3</v>
      </c>
      <c r="P16" s="2">
        <v>0.05</v>
      </c>
    </row>
    <row r="17" spans="1:16" x14ac:dyDescent="0.25">
      <c r="A17" s="36" t="s">
        <v>583</v>
      </c>
      <c r="B17" s="23" t="s">
        <v>17</v>
      </c>
      <c r="C17" s="46" t="s">
        <v>0</v>
      </c>
      <c r="D17" s="46" t="s">
        <v>44</v>
      </c>
      <c r="E17" s="46" t="s">
        <v>15</v>
      </c>
      <c r="F17" s="46" t="s">
        <v>198</v>
      </c>
      <c r="G17" s="46" t="s">
        <v>588</v>
      </c>
      <c r="H17" s="46" t="s">
        <v>47</v>
      </c>
      <c r="I17" s="46" t="s">
        <v>585</v>
      </c>
      <c r="J17" s="4">
        <v>1461</v>
      </c>
      <c r="K17" s="28">
        <v>41974</v>
      </c>
      <c r="L17" s="22"/>
      <c r="M17" s="46" t="s">
        <v>22</v>
      </c>
      <c r="N17" s="46" t="s">
        <v>16</v>
      </c>
      <c r="O17" s="46">
        <v>1E-3</v>
      </c>
      <c r="P17" s="2">
        <v>0.05</v>
      </c>
    </row>
    <row r="18" spans="1:16" x14ac:dyDescent="0.25">
      <c r="A18" s="36" t="s">
        <v>283</v>
      </c>
      <c r="B18" s="23" t="s">
        <v>13</v>
      </c>
      <c r="C18" s="46" t="s">
        <v>139</v>
      </c>
      <c r="D18" s="46" t="s">
        <v>68</v>
      </c>
      <c r="E18" s="46" t="s">
        <v>15</v>
      </c>
      <c r="F18" s="46" t="s">
        <v>258</v>
      </c>
      <c r="G18" s="46" t="s">
        <v>284</v>
      </c>
      <c r="H18" s="46" t="s">
        <v>47</v>
      </c>
      <c r="I18" s="46" t="s">
        <v>285</v>
      </c>
      <c r="J18" s="4">
        <v>1614</v>
      </c>
      <c r="K18" s="28">
        <v>42127</v>
      </c>
      <c r="L18" s="22" t="s">
        <v>21</v>
      </c>
      <c r="M18" s="46" t="s">
        <v>54</v>
      </c>
      <c r="N18" s="46" t="s">
        <v>16</v>
      </c>
      <c r="P18" s="2"/>
    </row>
    <row r="19" spans="1:16" x14ac:dyDescent="0.25">
      <c r="A19" s="36" t="s">
        <v>283</v>
      </c>
      <c r="B19" s="23" t="s">
        <v>13</v>
      </c>
      <c r="C19" s="46" t="s">
        <v>139</v>
      </c>
      <c r="D19" s="46" t="s">
        <v>68</v>
      </c>
      <c r="E19" s="46" t="s">
        <v>15</v>
      </c>
      <c r="F19" s="46" t="s">
        <v>286</v>
      </c>
      <c r="G19" s="46" t="s">
        <v>287</v>
      </c>
      <c r="H19" s="46" t="s">
        <v>47</v>
      </c>
      <c r="I19" s="46" t="s">
        <v>285</v>
      </c>
      <c r="J19" s="4">
        <v>1979</v>
      </c>
      <c r="K19" s="28">
        <v>42492</v>
      </c>
      <c r="L19" s="22" t="s">
        <v>21</v>
      </c>
      <c r="M19" s="46" t="s">
        <v>23</v>
      </c>
      <c r="N19" s="46" t="s">
        <v>16</v>
      </c>
      <c r="P19" s="2"/>
    </row>
    <row r="20" spans="1:16" x14ac:dyDescent="0.25">
      <c r="A20" s="36" t="s">
        <v>533</v>
      </c>
      <c r="B20" s="23" t="s">
        <v>17</v>
      </c>
      <c r="C20" s="46" t="s">
        <v>188</v>
      </c>
      <c r="D20" s="46" t="s">
        <v>68</v>
      </c>
      <c r="E20" s="46" t="s">
        <v>15</v>
      </c>
      <c r="F20" s="46" t="s">
        <v>412</v>
      </c>
      <c r="G20" s="46" t="s">
        <v>534</v>
      </c>
      <c r="H20" s="46" t="s">
        <v>47</v>
      </c>
      <c r="I20" s="46" t="s">
        <v>535</v>
      </c>
      <c r="J20" s="4">
        <v>427</v>
      </c>
      <c r="K20" s="28">
        <v>40940</v>
      </c>
      <c r="L20" s="22"/>
      <c r="M20" s="46" t="s">
        <v>54</v>
      </c>
      <c r="N20" s="46" t="s">
        <v>16</v>
      </c>
      <c r="O20" s="46">
        <v>1E-3</v>
      </c>
      <c r="P20" s="2">
        <v>0.05</v>
      </c>
    </row>
    <row r="21" spans="1:16" x14ac:dyDescent="0.25">
      <c r="A21" s="36" t="s">
        <v>533</v>
      </c>
      <c r="B21" s="23" t="s">
        <v>17</v>
      </c>
      <c r="C21" s="46" t="s">
        <v>188</v>
      </c>
      <c r="D21" s="46" t="s">
        <v>68</v>
      </c>
      <c r="E21" s="46" t="s">
        <v>15</v>
      </c>
      <c r="F21" s="46" t="s">
        <v>136</v>
      </c>
      <c r="G21" s="46" t="s">
        <v>536</v>
      </c>
      <c r="H21" s="46" t="s">
        <v>47</v>
      </c>
      <c r="I21" s="46" t="s">
        <v>535</v>
      </c>
      <c r="J21" s="4">
        <v>427</v>
      </c>
      <c r="K21" s="28">
        <v>40940</v>
      </c>
      <c r="L21" s="22"/>
      <c r="M21" s="46" t="s">
        <v>23</v>
      </c>
      <c r="N21" s="46" t="s">
        <v>16</v>
      </c>
      <c r="O21" s="46">
        <v>1E-3</v>
      </c>
      <c r="P21" s="2">
        <v>0.05</v>
      </c>
    </row>
    <row r="22" spans="1:16" x14ac:dyDescent="0.25">
      <c r="A22" s="36" t="s">
        <v>651</v>
      </c>
      <c r="B22" s="23" t="s">
        <v>17</v>
      </c>
      <c r="C22" s="46" t="s">
        <v>188</v>
      </c>
      <c r="D22" s="46">
        <v>1</v>
      </c>
      <c r="E22" s="46" t="s">
        <v>63</v>
      </c>
      <c r="F22" s="46" t="s">
        <v>392</v>
      </c>
      <c r="G22" s="46" t="s">
        <v>652</v>
      </c>
      <c r="H22" s="46" t="s">
        <v>190</v>
      </c>
      <c r="I22" s="46" t="s">
        <v>653</v>
      </c>
      <c r="J22" s="4">
        <v>433</v>
      </c>
      <c r="K22" s="28">
        <v>40946</v>
      </c>
      <c r="L22" s="22"/>
      <c r="M22" s="46" t="s">
        <v>24</v>
      </c>
      <c r="N22" s="46" t="s">
        <v>662</v>
      </c>
      <c r="P22" s="2"/>
    </row>
    <row r="23" spans="1:16" x14ac:dyDescent="0.25">
      <c r="A23" s="36" t="s">
        <v>238</v>
      </c>
      <c r="B23" s="23" t="s">
        <v>13</v>
      </c>
      <c r="C23" s="46" t="s">
        <v>139</v>
      </c>
      <c r="D23" s="46" t="s">
        <v>56</v>
      </c>
      <c r="E23" s="46" t="s">
        <v>15</v>
      </c>
      <c r="F23" s="46" t="s">
        <v>151</v>
      </c>
      <c r="G23" s="46" t="s">
        <v>239</v>
      </c>
      <c r="H23" s="46" t="s">
        <v>47</v>
      </c>
      <c r="I23" s="46" t="s">
        <v>240</v>
      </c>
      <c r="J23" s="4">
        <v>275</v>
      </c>
      <c r="K23" s="28">
        <v>40788</v>
      </c>
      <c r="L23" s="22" t="s">
        <v>21</v>
      </c>
      <c r="M23" s="46" t="s">
        <v>54</v>
      </c>
      <c r="N23" s="46" t="s">
        <v>16</v>
      </c>
      <c r="P23" s="2"/>
    </row>
    <row r="24" spans="1:16" x14ac:dyDescent="0.25">
      <c r="A24" s="36" t="s">
        <v>512</v>
      </c>
      <c r="B24" s="23" t="s">
        <v>17</v>
      </c>
      <c r="C24" s="46" t="s">
        <v>358</v>
      </c>
      <c r="D24" s="46" t="s">
        <v>56</v>
      </c>
      <c r="E24" s="46" t="s">
        <v>15</v>
      </c>
      <c r="F24" s="46" t="s">
        <v>272</v>
      </c>
      <c r="G24" s="46" t="s">
        <v>518</v>
      </c>
      <c r="H24" s="46" t="s">
        <v>47</v>
      </c>
      <c r="I24" s="46" t="s">
        <v>514</v>
      </c>
      <c r="J24" s="4">
        <v>1614</v>
      </c>
      <c r="K24" s="28">
        <v>42127</v>
      </c>
      <c r="L24" s="22"/>
      <c r="M24" s="46" t="s">
        <v>24</v>
      </c>
      <c r="N24" s="46" t="s">
        <v>16</v>
      </c>
      <c r="O24" s="46">
        <v>1E-3</v>
      </c>
      <c r="P24" s="2">
        <v>0.05</v>
      </c>
    </row>
    <row r="25" spans="1:16" x14ac:dyDescent="0.25">
      <c r="A25" s="36" t="s">
        <v>519</v>
      </c>
      <c r="B25" s="23" t="s">
        <v>17</v>
      </c>
      <c r="C25" s="46" t="s">
        <v>358</v>
      </c>
      <c r="D25" s="46" t="s">
        <v>56</v>
      </c>
      <c r="E25" s="46" t="s">
        <v>15</v>
      </c>
      <c r="F25" s="46" t="s">
        <v>272</v>
      </c>
      <c r="G25" s="46" t="s">
        <v>681</v>
      </c>
      <c r="H25" s="46" t="s">
        <v>134</v>
      </c>
      <c r="I25" s="46" t="s">
        <v>520</v>
      </c>
      <c r="J25" s="4">
        <v>1614</v>
      </c>
      <c r="K25" s="28">
        <v>42127</v>
      </c>
      <c r="L25" s="22"/>
      <c r="M25" s="46" t="s">
        <v>23</v>
      </c>
      <c r="N25" s="46" t="s">
        <v>16</v>
      </c>
      <c r="O25" s="46">
        <v>1E-3</v>
      </c>
      <c r="P25" s="2">
        <v>0.05</v>
      </c>
    </row>
    <row r="26" spans="1:16" x14ac:dyDescent="0.25">
      <c r="A26" s="36" t="s">
        <v>439</v>
      </c>
      <c r="B26" s="23" t="s">
        <v>17</v>
      </c>
      <c r="C26" s="46" t="s">
        <v>139</v>
      </c>
      <c r="D26" s="46" t="s">
        <v>56</v>
      </c>
      <c r="E26" s="46" t="s">
        <v>63</v>
      </c>
      <c r="F26" s="46" t="s">
        <v>440</v>
      </c>
      <c r="G26" s="46" t="s">
        <v>441</v>
      </c>
      <c r="H26" s="46" t="s">
        <v>190</v>
      </c>
      <c r="I26" s="46" t="s">
        <v>442</v>
      </c>
      <c r="J26" s="4">
        <v>1004</v>
      </c>
      <c r="K26" s="28">
        <v>41517</v>
      </c>
      <c r="L26" s="22"/>
      <c r="M26" s="46" t="s">
        <v>24</v>
      </c>
      <c r="N26" s="46" t="s">
        <v>662</v>
      </c>
      <c r="O26" s="46">
        <v>1E-3</v>
      </c>
      <c r="P26" s="2">
        <v>0.05</v>
      </c>
    </row>
    <row r="27" spans="1:16" x14ac:dyDescent="0.25">
      <c r="A27" s="36" t="s">
        <v>439</v>
      </c>
      <c r="B27" s="23" t="s">
        <v>17</v>
      </c>
      <c r="C27" s="46" t="s">
        <v>139</v>
      </c>
      <c r="D27" s="46" t="s">
        <v>56</v>
      </c>
      <c r="E27" s="46" t="s">
        <v>63</v>
      </c>
      <c r="F27" s="46" t="s">
        <v>443</v>
      </c>
      <c r="G27" s="46" t="s">
        <v>682</v>
      </c>
      <c r="H27" s="46" t="s">
        <v>190</v>
      </c>
      <c r="I27" s="46" t="s">
        <v>442</v>
      </c>
      <c r="J27" s="4">
        <v>639</v>
      </c>
      <c r="K27" s="28">
        <v>41152</v>
      </c>
      <c r="L27" s="22"/>
      <c r="M27" s="46" t="s">
        <v>54</v>
      </c>
      <c r="N27" s="46" t="s">
        <v>662</v>
      </c>
      <c r="O27" s="46">
        <v>1E-3</v>
      </c>
      <c r="P27" s="2">
        <v>0.05</v>
      </c>
    </row>
    <row r="28" spans="1:16" x14ac:dyDescent="0.25">
      <c r="A28" s="36" t="s">
        <v>439</v>
      </c>
      <c r="B28" s="23" t="s">
        <v>17</v>
      </c>
      <c r="C28" s="46" t="s">
        <v>139</v>
      </c>
      <c r="D28" s="46" t="s">
        <v>56</v>
      </c>
      <c r="E28" s="46" t="s">
        <v>63</v>
      </c>
      <c r="F28" s="46" t="s">
        <v>443</v>
      </c>
      <c r="G28" s="46" t="s">
        <v>683</v>
      </c>
      <c r="H28" s="46" t="s">
        <v>190</v>
      </c>
      <c r="I28" s="46" t="s">
        <v>442</v>
      </c>
      <c r="J28" s="4">
        <v>273</v>
      </c>
      <c r="K28" s="28">
        <v>40786</v>
      </c>
      <c r="L28" s="22"/>
      <c r="M28" s="46" t="s">
        <v>23</v>
      </c>
      <c r="N28" s="46" t="s">
        <v>662</v>
      </c>
      <c r="O28" s="46">
        <v>1E-3</v>
      </c>
      <c r="P28" s="2">
        <v>0.05</v>
      </c>
    </row>
    <row r="29" spans="1:16" x14ac:dyDescent="0.25">
      <c r="A29" s="36" t="s">
        <v>271</v>
      </c>
      <c r="B29" s="47" t="s">
        <v>13</v>
      </c>
      <c r="C29" s="46" t="s">
        <v>0</v>
      </c>
      <c r="D29" s="46" t="s">
        <v>44</v>
      </c>
      <c r="E29" s="46" t="s">
        <v>15</v>
      </c>
      <c r="F29" s="46" t="s">
        <v>272</v>
      </c>
      <c r="G29" s="46" t="s">
        <v>276</v>
      </c>
      <c r="H29" s="46" t="s">
        <v>47</v>
      </c>
      <c r="I29" s="46" t="s">
        <v>274</v>
      </c>
      <c r="J29" s="4">
        <v>1614</v>
      </c>
      <c r="K29" s="28">
        <v>42127</v>
      </c>
      <c r="L29" s="13" t="s">
        <v>21</v>
      </c>
      <c r="M29" s="46" t="s">
        <v>22</v>
      </c>
      <c r="N29" s="46" t="s">
        <v>16</v>
      </c>
      <c r="O29" s="48"/>
      <c r="P29" s="2"/>
    </row>
    <row r="30" spans="1:16" x14ac:dyDescent="0.25">
      <c r="A30" s="36" t="s">
        <v>678</v>
      </c>
      <c r="B30" s="47" t="s">
        <v>17</v>
      </c>
      <c r="C30" s="46" t="s">
        <v>188</v>
      </c>
      <c r="D30" s="46" t="s">
        <v>44</v>
      </c>
      <c r="E30" s="46" t="s">
        <v>63</v>
      </c>
      <c r="F30" s="46" t="s">
        <v>45</v>
      </c>
      <c r="G30" s="46" t="s">
        <v>461</v>
      </c>
      <c r="H30" s="46" t="s">
        <v>376</v>
      </c>
      <c r="I30" s="46" t="s">
        <v>462</v>
      </c>
      <c r="J30" s="4">
        <v>624</v>
      </c>
      <c r="K30" s="28">
        <v>41137</v>
      </c>
      <c r="L30" s="13"/>
      <c r="M30" s="46" t="s">
        <v>54</v>
      </c>
      <c r="N30" s="46" t="s">
        <v>662</v>
      </c>
      <c r="O30" s="48">
        <v>1E-3</v>
      </c>
      <c r="P30" s="2">
        <v>0.05</v>
      </c>
    </row>
    <row r="31" spans="1:16" x14ac:dyDescent="0.25">
      <c r="A31" s="36" t="s">
        <v>678</v>
      </c>
      <c r="B31" s="47" t="s">
        <v>17</v>
      </c>
      <c r="C31" s="46" t="s">
        <v>188</v>
      </c>
      <c r="D31" s="46" t="s">
        <v>44</v>
      </c>
      <c r="E31" s="46" t="s">
        <v>63</v>
      </c>
      <c r="F31" s="46" t="s">
        <v>278</v>
      </c>
      <c r="G31" s="46" t="s">
        <v>463</v>
      </c>
      <c r="H31" s="46" t="s">
        <v>376</v>
      </c>
      <c r="I31" s="46" t="s">
        <v>462</v>
      </c>
      <c r="J31" s="4">
        <v>76</v>
      </c>
      <c r="K31" s="28">
        <v>40589</v>
      </c>
      <c r="L31" s="13"/>
      <c r="M31" s="46" t="s">
        <v>23</v>
      </c>
      <c r="N31" s="46" t="s">
        <v>662</v>
      </c>
      <c r="O31" s="48">
        <v>1E-3</v>
      </c>
      <c r="P31" s="2">
        <v>0.05</v>
      </c>
    </row>
    <row r="32" spans="1:16" x14ac:dyDescent="0.25">
      <c r="A32" s="36" t="s">
        <v>678</v>
      </c>
      <c r="B32" s="47" t="s">
        <v>17</v>
      </c>
      <c r="C32" s="46" t="s">
        <v>188</v>
      </c>
      <c r="D32" s="46" t="s">
        <v>44</v>
      </c>
      <c r="E32" s="46" t="s">
        <v>63</v>
      </c>
      <c r="F32" s="46" t="s">
        <v>261</v>
      </c>
      <c r="G32" s="46" t="s">
        <v>464</v>
      </c>
      <c r="H32" s="46" t="s">
        <v>376</v>
      </c>
      <c r="I32" s="46" t="s">
        <v>462</v>
      </c>
      <c r="J32" s="4">
        <v>624</v>
      </c>
      <c r="K32" s="28">
        <v>41137</v>
      </c>
      <c r="L32" s="13"/>
      <c r="M32" s="46" t="s">
        <v>22</v>
      </c>
      <c r="N32" s="46" t="s">
        <v>662</v>
      </c>
      <c r="O32" s="48">
        <v>1E-3</v>
      </c>
      <c r="P32" s="2">
        <v>0.05</v>
      </c>
    </row>
    <row r="33" spans="1:16" x14ac:dyDescent="0.25">
      <c r="A33" s="36" t="s">
        <v>55</v>
      </c>
      <c r="B33" s="47" t="s">
        <v>13</v>
      </c>
      <c r="C33" s="46" t="s">
        <v>366</v>
      </c>
      <c r="D33" s="46" t="s">
        <v>56</v>
      </c>
      <c r="E33" s="46" t="s">
        <v>15</v>
      </c>
      <c r="F33" s="46" t="s">
        <v>57</v>
      </c>
      <c r="G33" s="46" t="s">
        <v>58</v>
      </c>
      <c r="H33" s="46" t="s">
        <v>59</v>
      </c>
      <c r="I33" s="46" t="s">
        <v>60</v>
      </c>
      <c r="J33" s="4">
        <v>32</v>
      </c>
      <c r="K33" s="28">
        <v>40545</v>
      </c>
      <c r="L33" s="13" t="s">
        <v>21</v>
      </c>
      <c r="M33" s="46" t="s">
        <v>22</v>
      </c>
      <c r="N33" s="46" t="s">
        <v>16</v>
      </c>
      <c r="O33" s="48">
        <v>1E-3</v>
      </c>
      <c r="P33" s="2"/>
    </row>
    <row r="34" spans="1:16" x14ac:dyDescent="0.25">
      <c r="A34" s="36" t="s">
        <v>132</v>
      </c>
      <c r="B34" s="47" t="s">
        <v>13</v>
      </c>
      <c r="C34" s="46" t="s">
        <v>366</v>
      </c>
      <c r="D34" s="46" t="s">
        <v>68</v>
      </c>
      <c r="E34" s="46" t="s">
        <v>372</v>
      </c>
      <c r="F34" s="46" t="s">
        <v>108</v>
      </c>
      <c r="G34" s="46" t="s">
        <v>133</v>
      </c>
      <c r="H34" s="46" t="s">
        <v>134</v>
      </c>
      <c r="I34" s="46" t="s">
        <v>135</v>
      </c>
      <c r="J34" s="4">
        <v>304</v>
      </c>
      <c r="K34" s="28">
        <v>40817</v>
      </c>
      <c r="L34" s="13" t="s">
        <v>21</v>
      </c>
      <c r="M34" s="46" t="s">
        <v>23</v>
      </c>
      <c r="N34" s="46" t="s">
        <v>2</v>
      </c>
      <c r="O34" s="48">
        <v>1E-3</v>
      </c>
      <c r="P34" s="2"/>
    </row>
    <row r="35" spans="1:16" x14ac:dyDescent="0.25">
      <c r="A35" s="36" t="s">
        <v>267</v>
      </c>
      <c r="B35" s="47" t="s">
        <v>13</v>
      </c>
      <c r="C35" s="46" t="s">
        <v>139</v>
      </c>
      <c r="D35" s="46" t="s">
        <v>68</v>
      </c>
      <c r="E35" s="46" t="s">
        <v>15</v>
      </c>
      <c r="F35" s="46" t="s">
        <v>268</v>
      </c>
      <c r="G35" s="46" t="s">
        <v>269</v>
      </c>
      <c r="H35" s="46" t="s">
        <v>47</v>
      </c>
      <c r="I35" s="46" t="s">
        <v>270</v>
      </c>
      <c r="J35" s="4">
        <v>792</v>
      </c>
      <c r="K35" s="28">
        <v>41305</v>
      </c>
      <c r="L35" s="13" t="s">
        <v>21</v>
      </c>
      <c r="M35" s="46" t="s">
        <v>24</v>
      </c>
      <c r="N35" s="46" t="s">
        <v>16</v>
      </c>
      <c r="O35" s="48"/>
      <c r="P35" s="2"/>
    </row>
    <row r="36" spans="1:16" x14ac:dyDescent="0.25">
      <c r="A36" s="36" t="s">
        <v>426</v>
      </c>
      <c r="B36" s="47" t="s">
        <v>17</v>
      </c>
      <c r="C36" s="46" t="s">
        <v>139</v>
      </c>
      <c r="D36" s="46" t="s">
        <v>68</v>
      </c>
      <c r="E36" s="46" t="s">
        <v>15</v>
      </c>
      <c r="F36" s="46" t="s">
        <v>45</v>
      </c>
      <c r="G36" s="46" t="s">
        <v>430</v>
      </c>
      <c r="H36" s="46" t="s">
        <v>47</v>
      </c>
      <c r="I36" s="46" t="s">
        <v>429</v>
      </c>
      <c r="J36" s="4">
        <v>1640</v>
      </c>
      <c r="K36" s="28">
        <v>42153</v>
      </c>
      <c r="L36" s="13"/>
      <c r="M36" s="46" t="s">
        <v>23</v>
      </c>
      <c r="N36" s="46" t="s">
        <v>16</v>
      </c>
      <c r="O36" s="48">
        <v>1E-3</v>
      </c>
      <c r="P36" s="2">
        <v>0.05</v>
      </c>
    </row>
    <row r="37" spans="1:16" x14ac:dyDescent="0.25">
      <c r="A37" s="36" t="s">
        <v>426</v>
      </c>
      <c r="B37" s="47" t="s">
        <v>17</v>
      </c>
      <c r="C37" s="46" t="s">
        <v>139</v>
      </c>
      <c r="D37" s="46" t="s">
        <v>68</v>
      </c>
      <c r="E37" s="46" t="s">
        <v>15</v>
      </c>
      <c r="F37" s="46" t="s">
        <v>72</v>
      </c>
      <c r="G37" s="46" t="s">
        <v>431</v>
      </c>
      <c r="H37" s="46" t="s">
        <v>47</v>
      </c>
      <c r="I37" s="46" t="s">
        <v>429</v>
      </c>
      <c r="J37" s="4">
        <v>542</v>
      </c>
      <c r="K37" s="28">
        <v>41055</v>
      </c>
      <c r="L37" s="13"/>
      <c r="M37" s="46" t="s">
        <v>24</v>
      </c>
      <c r="N37" s="46" t="s">
        <v>16</v>
      </c>
      <c r="O37" s="48">
        <v>1E-3</v>
      </c>
      <c r="P37" s="2">
        <v>0.05</v>
      </c>
    </row>
    <row r="38" spans="1:16" x14ac:dyDescent="0.25">
      <c r="A38" s="36" t="s">
        <v>426</v>
      </c>
      <c r="B38" s="47" t="s">
        <v>17</v>
      </c>
      <c r="C38" s="46" t="s">
        <v>139</v>
      </c>
      <c r="D38" s="46" t="s">
        <v>68</v>
      </c>
      <c r="E38" s="46" t="s">
        <v>15</v>
      </c>
      <c r="F38" s="46" t="s">
        <v>432</v>
      </c>
      <c r="G38" s="46" t="s">
        <v>433</v>
      </c>
      <c r="H38" s="46" t="s">
        <v>47</v>
      </c>
      <c r="I38" s="46" t="s">
        <v>429</v>
      </c>
      <c r="J38" s="4">
        <v>542</v>
      </c>
      <c r="K38" s="28">
        <v>41055</v>
      </c>
      <c r="L38" s="13"/>
      <c r="M38" s="46" t="s">
        <v>54</v>
      </c>
      <c r="N38" s="46" t="s">
        <v>16</v>
      </c>
      <c r="O38" s="48">
        <v>1E-3</v>
      </c>
      <c r="P38" s="2">
        <v>0.05</v>
      </c>
    </row>
    <row r="39" spans="1:16" x14ac:dyDescent="0.25">
      <c r="A39" s="36" t="s">
        <v>310</v>
      </c>
      <c r="B39" s="23" t="s">
        <v>13</v>
      </c>
      <c r="C39" s="46" t="s">
        <v>366</v>
      </c>
      <c r="D39" s="46" t="s">
        <v>56</v>
      </c>
      <c r="E39" s="46" t="s">
        <v>63</v>
      </c>
      <c r="F39" s="46" t="s">
        <v>118</v>
      </c>
      <c r="G39" s="46" t="s">
        <v>315</v>
      </c>
      <c r="H39" s="46" t="s">
        <v>190</v>
      </c>
      <c r="I39" s="46" t="s">
        <v>312</v>
      </c>
      <c r="J39" s="4">
        <v>334</v>
      </c>
      <c r="K39" s="28">
        <v>40847</v>
      </c>
      <c r="L39" s="55" t="s">
        <v>21</v>
      </c>
      <c r="M39" s="46" t="s">
        <v>24</v>
      </c>
      <c r="N39" s="46" t="s">
        <v>662</v>
      </c>
      <c r="P39" s="2"/>
    </row>
    <row r="40" spans="1:16" x14ac:dyDescent="0.25">
      <c r="A40" s="36" t="s">
        <v>630</v>
      </c>
      <c r="B40" s="47" t="s">
        <v>17</v>
      </c>
      <c r="C40" s="46" t="s">
        <v>0</v>
      </c>
      <c r="D40" s="46" t="s">
        <v>62</v>
      </c>
      <c r="E40" s="46" t="s">
        <v>15</v>
      </c>
      <c r="F40" s="46" t="s">
        <v>369</v>
      </c>
      <c r="G40" s="46" t="s">
        <v>635</v>
      </c>
      <c r="H40" s="46" t="s">
        <v>47</v>
      </c>
      <c r="I40" s="46" t="s">
        <v>632</v>
      </c>
      <c r="J40" s="4">
        <v>1614</v>
      </c>
      <c r="K40" s="28">
        <v>42127</v>
      </c>
      <c r="L40" s="13"/>
      <c r="M40" s="46" t="s">
        <v>54</v>
      </c>
      <c r="N40" s="46" t="s">
        <v>16</v>
      </c>
      <c r="O40" s="48"/>
      <c r="P40" s="2">
        <v>0.03</v>
      </c>
    </row>
    <row r="41" spans="1:16" x14ac:dyDescent="0.25">
      <c r="A41" s="36" t="s">
        <v>617</v>
      </c>
      <c r="B41" s="47" t="s">
        <v>17</v>
      </c>
      <c r="C41" s="46" t="s">
        <v>0</v>
      </c>
      <c r="D41" s="46" t="s">
        <v>62</v>
      </c>
      <c r="E41" s="46" t="s">
        <v>15</v>
      </c>
      <c r="F41" s="46" t="s">
        <v>110</v>
      </c>
      <c r="G41" s="46" t="s">
        <v>618</v>
      </c>
      <c r="H41" s="46" t="s">
        <v>47</v>
      </c>
      <c r="I41" s="46" t="s">
        <v>619</v>
      </c>
      <c r="J41" s="4">
        <v>1614</v>
      </c>
      <c r="K41" s="28">
        <v>42127</v>
      </c>
      <c r="L41" s="13"/>
      <c r="M41" s="46" t="s">
        <v>22</v>
      </c>
      <c r="N41" s="46" t="s">
        <v>16</v>
      </c>
      <c r="O41" s="48"/>
      <c r="P41" s="2">
        <v>0.05</v>
      </c>
    </row>
    <row r="42" spans="1:16" x14ac:dyDescent="0.25">
      <c r="A42" s="36" t="s">
        <v>617</v>
      </c>
      <c r="B42" s="47" t="s">
        <v>17</v>
      </c>
      <c r="C42" s="46" t="s">
        <v>0</v>
      </c>
      <c r="D42" s="46" t="s">
        <v>62</v>
      </c>
      <c r="E42" s="46" t="s">
        <v>15</v>
      </c>
      <c r="F42" s="46" t="s">
        <v>370</v>
      </c>
      <c r="G42" s="46" t="s">
        <v>620</v>
      </c>
      <c r="H42" s="46" t="s">
        <v>47</v>
      </c>
      <c r="I42" s="46" t="s">
        <v>619</v>
      </c>
      <c r="J42" s="4">
        <v>1979</v>
      </c>
      <c r="K42" s="28">
        <v>42492</v>
      </c>
      <c r="L42" s="13"/>
      <c r="M42" s="46" t="s">
        <v>23</v>
      </c>
      <c r="N42" s="46" t="s">
        <v>16</v>
      </c>
      <c r="O42" s="48"/>
      <c r="P42" s="2">
        <v>0.05</v>
      </c>
    </row>
    <row r="43" spans="1:16" x14ac:dyDescent="0.25">
      <c r="A43" s="36" t="s">
        <v>248</v>
      </c>
      <c r="B43" s="47" t="s">
        <v>13</v>
      </c>
      <c r="C43" s="46" t="s">
        <v>139</v>
      </c>
      <c r="D43" s="46" t="s">
        <v>68</v>
      </c>
      <c r="E43" s="46" t="s">
        <v>15</v>
      </c>
      <c r="F43" s="46" t="s">
        <v>249</v>
      </c>
      <c r="G43" s="46" t="s">
        <v>250</v>
      </c>
      <c r="H43" s="46" t="s">
        <v>47</v>
      </c>
      <c r="I43" s="46" t="s">
        <v>251</v>
      </c>
      <c r="J43" s="4">
        <v>2</v>
      </c>
      <c r="K43" s="28">
        <v>40515</v>
      </c>
      <c r="L43" s="13" t="s">
        <v>21</v>
      </c>
      <c r="M43" s="46" t="s">
        <v>22</v>
      </c>
      <c r="N43" s="46" t="s">
        <v>16</v>
      </c>
      <c r="O43" s="48"/>
      <c r="P43" s="2"/>
    </row>
    <row r="44" spans="1:16" x14ac:dyDescent="0.25">
      <c r="A44" s="36" t="s">
        <v>248</v>
      </c>
      <c r="B44" s="47" t="s">
        <v>13</v>
      </c>
      <c r="C44" s="46" t="s">
        <v>0</v>
      </c>
      <c r="D44" s="46" t="s">
        <v>44</v>
      </c>
      <c r="E44" s="46" t="s">
        <v>15</v>
      </c>
      <c r="F44" s="46" t="s">
        <v>252</v>
      </c>
      <c r="G44" s="46" t="s">
        <v>253</v>
      </c>
      <c r="H44" s="46" t="s">
        <v>47</v>
      </c>
      <c r="I44" s="46" t="s">
        <v>251</v>
      </c>
      <c r="J44" s="4">
        <v>2</v>
      </c>
      <c r="K44" s="28">
        <v>40515</v>
      </c>
      <c r="L44" s="13" t="s">
        <v>21</v>
      </c>
      <c r="M44" s="46" t="s">
        <v>23</v>
      </c>
      <c r="N44" s="46" t="s">
        <v>16</v>
      </c>
      <c r="O44" s="48"/>
      <c r="P44" s="2"/>
    </row>
    <row r="45" spans="1:16" x14ac:dyDescent="0.25">
      <c r="A45" s="36" t="s">
        <v>610</v>
      </c>
      <c r="B45" s="47" t="s">
        <v>17</v>
      </c>
      <c r="C45" s="46" t="s">
        <v>188</v>
      </c>
      <c r="D45" s="46" t="s">
        <v>68</v>
      </c>
      <c r="E45" s="46" t="s">
        <v>15</v>
      </c>
      <c r="F45" s="46" t="s">
        <v>361</v>
      </c>
      <c r="G45" s="46" t="s">
        <v>611</v>
      </c>
      <c r="H45" s="46" t="s">
        <v>47</v>
      </c>
      <c r="I45" s="46" t="s">
        <v>612</v>
      </c>
      <c r="J45" s="4">
        <v>1003</v>
      </c>
      <c r="K45" s="28">
        <v>41516</v>
      </c>
      <c r="L45" s="13"/>
      <c r="M45" s="46" t="s">
        <v>23</v>
      </c>
      <c r="N45" s="46" t="s">
        <v>16</v>
      </c>
      <c r="O45" s="48">
        <v>1E-3</v>
      </c>
      <c r="P45" s="2">
        <v>0.05</v>
      </c>
    </row>
    <row r="46" spans="1:16" x14ac:dyDescent="0.25">
      <c r="A46" s="36" t="s">
        <v>640</v>
      </c>
      <c r="B46" s="47" t="s">
        <v>17</v>
      </c>
      <c r="C46" s="46" t="s">
        <v>139</v>
      </c>
      <c r="D46" s="46" t="s">
        <v>68</v>
      </c>
      <c r="E46" s="46" t="s">
        <v>15</v>
      </c>
      <c r="F46" s="46" t="s">
        <v>151</v>
      </c>
      <c r="G46" s="46" t="s">
        <v>641</v>
      </c>
      <c r="H46" s="46" t="s">
        <v>47</v>
      </c>
      <c r="I46" s="46" t="s">
        <v>642</v>
      </c>
      <c r="J46" s="4">
        <v>1562</v>
      </c>
      <c r="K46" s="28">
        <v>42075</v>
      </c>
      <c r="L46" s="13"/>
      <c r="M46" s="46" t="s">
        <v>23</v>
      </c>
      <c r="N46" s="46" t="s">
        <v>16</v>
      </c>
      <c r="O46" s="48"/>
      <c r="P46" s="2">
        <v>0.03</v>
      </c>
    </row>
    <row r="47" spans="1:16" x14ac:dyDescent="0.25">
      <c r="A47" s="36" t="s">
        <v>640</v>
      </c>
      <c r="B47" s="47" t="s">
        <v>17</v>
      </c>
      <c r="C47" s="46" t="s">
        <v>139</v>
      </c>
      <c r="D47" s="46" t="s">
        <v>68</v>
      </c>
      <c r="E47" s="46" t="s">
        <v>15</v>
      </c>
      <c r="F47" s="46" t="s">
        <v>363</v>
      </c>
      <c r="G47" s="46" t="s">
        <v>643</v>
      </c>
      <c r="H47" s="46" t="s">
        <v>47</v>
      </c>
      <c r="I47" s="46" t="s">
        <v>642</v>
      </c>
      <c r="J47" s="4">
        <v>832</v>
      </c>
      <c r="K47" s="28">
        <v>41345</v>
      </c>
      <c r="L47" s="13"/>
      <c r="M47" s="46" t="s">
        <v>24</v>
      </c>
      <c r="N47" s="46" t="s">
        <v>16</v>
      </c>
      <c r="O47" s="48"/>
      <c r="P47" s="2"/>
    </row>
    <row r="48" spans="1:16" x14ac:dyDescent="0.25">
      <c r="A48" s="36" t="s">
        <v>458</v>
      </c>
      <c r="B48" s="47" t="s">
        <v>17</v>
      </c>
      <c r="C48" s="46" t="s">
        <v>139</v>
      </c>
      <c r="D48" s="46" t="s">
        <v>44</v>
      </c>
      <c r="E48" s="46" t="s">
        <v>372</v>
      </c>
      <c r="F48" s="46" t="s">
        <v>110</v>
      </c>
      <c r="G48" s="46" t="s">
        <v>459</v>
      </c>
      <c r="H48" s="46" t="s">
        <v>134</v>
      </c>
      <c r="I48" s="46" t="s">
        <v>460</v>
      </c>
      <c r="J48" s="4">
        <v>1948</v>
      </c>
      <c r="K48" s="28">
        <v>42461</v>
      </c>
      <c r="L48" s="13"/>
      <c r="M48" s="46" t="s">
        <v>23</v>
      </c>
      <c r="N48" s="46" t="s">
        <v>2</v>
      </c>
      <c r="O48" s="48">
        <v>1E-3</v>
      </c>
      <c r="P48" s="2">
        <v>0.05</v>
      </c>
    </row>
    <row r="49" spans="1:16" x14ac:dyDescent="0.25">
      <c r="A49" s="36" t="s">
        <v>455</v>
      </c>
      <c r="B49" s="47" t="s">
        <v>17</v>
      </c>
      <c r="C49" s="46" t="s">
        <v>139</v>
      </c>
      <c r="D49" s="46" t="s">
        <v>44</v>
      </c>
      <c r="E49" s="46" t="s">
        <v>15</v>
      </c>
      <c r="F49" s="46" t="s">
        <v>278</v>
      </c>
      <c r="G49" s="46" t="s">
        <v>456</v>
      </c>
      <c r="H49" s="46" t="s">
        <v>211</v>
      </c>
      <c r="I49" s="46" t="s">
        <v>457</v>
      </c>
      <c r="J49" s="4">
        <v>1948</v>
      </c>
      <c r="K49" s="28">
        <v>42461</v>
      </c>
      <c r="L49" s="13"/>
      <c r="M49" s="46" t="s">
        <v>54</v>
      </c>
      <c r="N49" s="46" t="s">
        <v>16</v>
      </c>
      <c r="O49" s="48">
        <v>1E-3</v>
      </c>
      <c r="P49" s="2">
        <v>0.05</v>
      </c>
    </row>
    <row r="50" spans="1:16" x14ac:dyDescent="0.25">
      <c r="A50" s="36" t="s">
        <v>455</v>
      </c>
      <c r="B50" s="47" t="s">
        <v>17</v>
      </c>
      <c r="C50" s="46" t="s">
        <v>139</v>
      </c>
      <c r="D50" s="46" t="s">
        <v>44</v>
      </c>
      <c r="E50" s="46" t="s">
        <v>15</v>
      </c>
      <c r="F50" s="46" t="s">
        <v>115</v>
      </c>
      <c r="G50" s="46" t="s">
        <v>385</v>
      </c>
      <c r="H50" s="46" t="s">
        <v>211</v>
      </c>
      <c r="I50" s="46" t="s">
        <v>457</v>
      </c>
      <c r="J50" s="4">
        <v>1583</v>
      </c>
      <c r="K50" s="28">
        <v>42096</v>
      </c>
      <c r="L50" s="13"/>
      <c r="M50" s="46" t="s">
        <v>22</v>
      </c>
      <c r="N50" s="46" t="s">
        <v>16</v>
      </c>
      <c r="O50" s="48">
        <v>1E-3</v>
      </c>
      <c r="P50" s="2">
        <v>0.05</v>
      </c>
    </row>
    <row r="51" spans="1:16" x14ac:dyDescent="0.25">
      <c r="A51" s="36" t="s">
        <v>254</v>
      </c>
      <c r="B51" s="47" t="s">
        <v>13</v>
      </c>
      <c r="C51" s="46" t="s">
        <v>139</v>
      </c>
      <c r="D51" s="46" t="s">
        <v>56</v>
      </c>
      <c r="E51" s="46" t="s">
        <v>15</v>
      </c>
      <c r="F51" s="46" t="s">
        <v>101</v>
      </c>
      <c r="G51" s="46" t="s">
        <v>260</v>
      </c>
      <c r="H51" s="46" t="s">
        <v>47</v>
      </c>
      <c r="I51" s="46" t="s">
        <v>257</v>
      </c>
      <c r="J51" s="4">
        <v>1614</v>
      </c>
      <c r="K51" s="28">
        <v>42127</v>
      </c>
      <c r="L51" s="13" t="s">
        <v>21</v>
      </c>
      <c r="M51" s="46" t="s">
        <v>24</v>
      </c>
      <c r="N51" s="46" t="s">
        <v>16</v>
      </c>
      <c r="O51" s="48"/>
      <c r="P51" s="2"/>
    </row>
    <row r="52" spans="1:16" x14ac:dyDescent="0.25">
      <c r="A52" s="36" t="s">
        <v>254</v>
      </c>
      <c r="B52" s="47" t="s">
        <v>13</v>
      </c>
      <c r="C52" s="46" t="s">
        <v>139</v>
      </c>
      <c r="D52" s="46" t="s">
        <v>56</v>
      </c>
      <c r="E52" s="46" t="s">
        <v>15</v>
      </c>
      <c r="F52" s="46" t="s">
        <v>261</v>
      </c>
      <c r="G52" s="46" t="s">
        <v>262</v>
      </c>
      <c r="H52" s="46" t="s">
        <v>47</v>
      </c>
      <c r="I52" s="46" t="s">
        <v>257</v>
      </c>
      <c r="J52" s="4">
        <v>2345</v>
      </c>
      <c r="K52" s="28">
        <v>42858</v>
      </c>
      <c r="L52" s="13" t="s">
        <v>21</v>
      </c>
      <c r="M52" s="46" t="s">
        <v>54</v>
      </c>
      <c r="N52" s="46" t="s">
        <v>16</v>
      </c>
      <c r="O52" s="48"/>
      <c r="P52" s="2"/>
    </row>
    <row r="53" spans="1:16" x14ac:dyDescent="0.25">
      <c r="A53" s="36" t="s">
        <v>613</v>
      </c>
      <c r="B53" s="47" t="s">
        <v>17</v>
      </c>
      <c r="C53" s="46" t="s">
        <v>139</v>
      </c>
      <c r="D53" s="46" t="s">
        <v>68</v>
      </c>
      <c r="E53" s="46" t="s">
        <v>15</v>
      </c>
      <c r="F53" s="46" t="s">
        <v>51</v>
      </c>
      <c r="G53" s="46" t="s">
        <v>614</v>
      </c>
      <c r="H53" s="46" t="s">
        <v>47</v>
      </c>
      <c r="I53" s="46" t="s">
        <v>615</v>
      </c>
      <c r="J53" s="4">
        <v>1249</v>
      </c>
      <c r="K53" s="28">
        <v>41762</v>
      </c>
      <c r="L53" s="13"/>
      <c r="M53" s="46" t="s">
        <v>24</v>
      </c>
      <c r="N53" s="46" t="s">
        <v>16</v>
      </c>
      <c r="O53" s="48"/>
      <c r="P53" s="2">
        <v>0.05</v>
      </c>
    </row>
    <row r="54" spans="1:16" x14ac:dyDescent="0.25">
      <c r="A54" s="36" t="s">
        <v>613</v>
      </c>
      <c r="B54" s="47" t="s">
        <v>17</v>
      </c>
      <c r="C54" s="46" t="s">
        <v>139</v>
      </c>
      <c r="D54" s="46" t="s">
        <v>68</v>
      </c>
      <c r="E54" s="46" t="s">
        <v>15</v>
      </c>
      <c r="F54" s="46" t="s">
        <v>380</v>
      </c>
      <c r="G54" s="46" t="s">
        <v>616</v>
      </c>
      <c r="H54" s="46" t="s">
        <v>47</v>
      </c>
      <c r="I54" s="46" t="s">
        <v>615</v>
      </c>
      <c r="J54" s="4">
        <v>1249</v>
      </c>
      <c r="K54" s="28">
        <v>41762</v>
      </c>
      <c r="L54" s="13"/>
      <c r="M54" s="46" t="s">
        <v>54</v>
      </c>
      <c r="N54" s="46" t="s">
        <v>16</v>
      </c>
      <c r="O54" s="48"/>
      <c r="P54" s="2">
        <v>0.05</v>
      </c>
    </row>
    <row r="55" spans="1:16" x14ac:dyDescent="0.25">
      <c r="A55" s="36" t="s">
        <v>95</v>
      </c>
      <c r="B55" s="47" t="s">
        <v>17</v>
      </c>
      <c r="C55" s="46" t="s">
        <v>188</v>
      </c>
      <c r="D55" s="46" t="s">
        <v>68</v>
      </c>
      <c r="E55" s="46" t="s">
        <v>15</v>
      </c>
      <c r="F55" s="46" t="s">
        <v>101</v>
      </c>
      <c r="G55" s="46" t="s">
        <v>102</v>
      </c>
      <c r="H55" s="46" t="s">
        <v>47</v>
      </c>
      <c r="I55" s="46" t="s">
        <v>98</v>
      </c>
      <c r="J55" s="4">
        <v>1323</v>
      </c>
      <c r="K55" s="28">
        <v>41836</v>
      </c>
      <c r="L55" s="13"/>
      <c r="M55" s="46" t="s">
        <v>22</v>
      </c>
      <c r="N55" s="46" t="s">
        <v>16</v>
      </c>
      <c r="O55" s="48">
        <v>1E-3</v>
      </c>
      <c r="P55" s="2">
        <v>0.05</v>
      </c>
    </row>
    <row r="56" spans="1:16" x14ac:dyDescent="0.25">
      <c r="A56" s="36" t="s">
        <v>95</v>
      </c>
      <c r="B56" s="47" t="s">
        <v>17</v>
      </c>
      <c r="C56" s="46" t="s">
        <v>188</v>
      </c>
      <c r="D56" s="46" t="s">
        <v>68</v>
      </c>
      <c r="E56" s="46" t="s">
        <v>15</v>
      </c>
      <c r="F56" s="46" t="s">
        <v>103</v>
      </c>
      <c r="G56" s="46" t="s">
        <v>104</v>
      </c>
      <c r="H56" s="46" t="s">
        <v>47</v>
      </c>
      <c r="I56" s="46" t="s">
        <v>98</v>
      </c>
      <c r="J56" s="4">
        <v>1688</v>
      </c>
      <c r="K56" s="28">
        <v>42201</v>
      </c>
      <c r="L56" s="13"/>
      <c r="M56" s="46" t="s">
        <v>23</v>
      </c>
      <c r="N56" s="46" t="s">
        <v>16</v>
      </c>
      <c r="O56" s="48">
        <v>1E-3</v>
      </c>
      <c r="P56" s="2">
        <v>0.05</v>
      </c>
    </row>
    <row r="57" spans="1:16" x14ac:dyDescent="0.25">
      <c r="A57" s="36" t="s">
        <v>114</v>
      </c>
      <c r="B57" s="47" t="s">
        <v>13</v>
      </c>
      <c r="C57" s="46" t="s">
        <v>0</v>
      </c>
      <c r="D57" s="46" t="s">
        <v>56</v>
      </c>
      <c r="E57" s="46" t="s">
        <v>15</v>
      </c>
      <c r="F57" s="46" t="s">
        <v>115</v>
      </c>
      <c r="G57" s="46" t="s">
        <v>116</v>
      </c>
      <c r="H57" s="46" t="s">
        <v>47</v>
      </c>
      <c r="I57" s="46" t="s">
        <v>117</v>
      </c>
      <c r="J57" s="4">
        <v>1</v>
      </c>
      <c r="K57" s="28">
        <v>40514</v>
      </c>
      <c r="L57" s="13" t="s">
        <v>21</v>
      </c>
      <c r="M57" s="46" t="s">
        <v>22</v>
      </c>
      <c r="N57" s="46" t="s">
        <v>16</v>
      </c>
      <c r="O57" s="48">
        <v>1E-3</v>
      </c>
      <c r="P57" s="2"/>
    </row>
    <row r="58" spans="1:16" x14ac:dyDescent="0.25">
      <c r="A58" s="36" t="s">
        <v>114</v>
      </c>
      <c r="B58" s="47" t="s">
        <v>13</v>
      </c>
      <c r="C58" s="46" t="s">
        <v>0</v>
      </c>
      <c r="D58" s="46" t="s">
        <v>56</v>
      </c>
      <c r="E58" s="46" t="s">
        <v>15</v>
      </c>
      <c r="F58" s="46" t="s">
        <v>118</v>
      </c>
      <c r="G58" s="46" t="s">
        <v>119</v>
      </c>
      <c r="H58" s="46" t="s">
        <v>47</v>
      </c>
      <c r="I58" s="46" t="s">
        <v>117</v>
      </c>
      <c r="J58" s="4">
        <v>1</v>
      </c>
      <c r="K58" s="28">
        <v>40514</v>
      </c>
      <c r="L58" s="13" t="s">
        <v>21</v>
      </c>
      <c r="M58" s="46" t="s">
        <v>23</v>
      </c>
      <c r="N58" s="46" t="s">
        <v>16</v>
      </c>
      <c r="O58" s="48">
        <v>1E-3</v>
      </c>
      <c r="P58" s="2"/>
    </row>
    <row r="59" spans="1:16" x14ac:dyDescent="0.25">
      <c r="A59" s="36" t="s">
        <v>494</v>
      </c>
      <c r="B59" s="47" t="s">
        <v>17</v>
      </c>
      <c r="C59" s="46" t="s">
        <v>0</v>
      </c>
      <c r="D59" s="46" t="s">
        <v>68</v>
      </c>
      <c r="E59" s="46" t="s">
        <v>297</v>
      </c>
      <c r="F59" s="46" t="s">
        <v>49</v>
      </c>
      <c r="G59" s="46" t="s">
        <v>495</v>
      </c>
      <c r="H59" s="46" t="s">
        <v>82</v>
      </c>
      <c r="I59" s="46" t="s">
        <v>496</v>
      </c>
      <c r="J59" s="4">
        <v>1</v>
      </c>
      <c r="K59" s="28">
        <v>40514</v>
      </c>
      <c r="L59" s="13"/>
      <c r="M59" s="46" t="s">
        <v>23</v>
      </c>
      <c r="N59" s="46" t="s">
        <v>671</v>
      </c>
      <c r="O59" s="48">
        <v>1E-3</v>
      </c>
      <c r="P59" s="2">
        <v>0.05</v>
      </c>
    </row>
    <row r="60" spans="1:16" x14ac:dyDescent="0.25">
      <c r="A60" s="36" t="s">
        <v>679</v>
      </c>
      <c r="B60" s="47" t="s">
        <v>17</v>
      </c>
      <c r="C60" s="46" t="s">
        <v>139</v>
      </c>
      <c r="D60" s="46" t="s">
        <v>68</v>
      </c>
      <c r="E60" s="46" t="s">
        <v>15</v>
      </c>
      <c r="F60" s="46" t="s">
        <v>72</v>
      </c>
      <c r="G60" s="46" t="s">
        <v>570</v>
      </c>
      <c r="H60" s="46" t="s">
        <v>47</v>
      </c>
      <c r="I60" s="46" t="s">
        <v>571</v>
      </c>
      <c r="J60" s="4">
        <v>1101</v>
      </c>
      <c r="K60" s="28">
        <v>41614</v>
      </c>
      <c r="L60" s="13"/>
      <c r="M60" s="46" t="s">
        <v>24</v>
      </c>
      <c r="N60" s="46" t="s">
        <v>16</v>
      </c>
      <c r="O60" s="48">
        <v>1E-3</v>
      </c>
      <c r="P60" s="2">
        <v>0.05</v>
      </c>
    </row>
    <row r="61" spans="1:16" x14ac:dyDescent="0.25">
      <c r="A61" s="36" t="s">
        <v>67</v>
      </c>
      <c r="B61" s="47" t="s">
        <v>13</v>
      </c>
      <c r="C61" s="46" t="s">
        <v>139</v>
      </c>
      <c r="D61" s="46" t="s">
        <v>68</v>
      </c>
      <c r="E61" s="46" t="s">
        <v>15</v>
      </c>
      <c r="F61" s="46" t="s">
        <v>51</v>
      </c>
      <c r="G61" s="46" t="s">
        <v>69</v>
      </c>
      <c r="H61" s="46" t="s">
        <v>47</v>
      </c>
      <c r="I61" s="46" t="s">
        <v>70</v>
      </c>
      <c r="J61" s="4">
        <v>1645</v>
      </c>
      <c r="K61" s="28">
        <v>42158</v>
      </c>
      <c r="L61" s="13" t="s">
        <v>21</v>
      </c>
      <c r="M61" s="46" t="s">
        <v>24</v>
      </c>
      <c r="N61" s="46" t="s">
        <v>16</v>
      </c>
      <c r="O61" s="48">
        <v>1E-3</v>
      </c>
      <c r="P61" s="2"/>
    </row>
    <row r="62" spans="1:16" x14ac:dyDescent="0.25">
      <c r="A62" s="36" t="s">
        <v>648</v>
      </c>
      <c r="B62" s="47" t="s">
        <v>17</v>
      </c>
      <c r="C62" s="46" t="s">
        <v>0</v>
      </c>
      <c r="D62" s="46" t="s">
        <v>68</v>
      </c>
      <c r="E62" s="46" t="s">
        <v>15</v>
      </c>
      <c r="F62" s="46" t="s">
        <v>84</v>
      </c>
      <c r="G62" s="46" t="s">
        <v>649</v>
      </c>
      <c r="H62" s="46" t="s">
        <v>47</v>
      </c>
      <c r="I62" s="46" t="s">
        <v>650</v>
      </c>
      <c r="J62" s="4">
        <v>1249</v>
      </c>
      <c r="K62" s="28">
        <v>41762</v>
      </c>
      <c r="L62" s="13"/>
      <c r="M62" s="46" t="s">
        <v>23</v>
      </c>
      <c r="N62" s="46" t="s">
        <v>16</v>
      </c>
      <c r="O62" s="48"/>
      <c r="P62" s="2"/>
    </row>
    <row r="63" spans="1:16" x14ac:dyDescent="0.25">
      <c r="A63" s="36" t="s">
        <v>310</v>
      </c>
      <c r="B63" s="47" t="s">
        <v>13</v>
      </c>
      <c r="C63" s="46" t="s">
        <v>366</v>
      </c>
      <c r="D63" s="46" t="s">
        <v>56</v>
      </c>
      <c r="E63" s="46" t="s">
        <v>63</v>
      </c>
      <c r="F63" s="46" t="s">
        <v>313</v>
      </c>
      <c r="G63" s="46" t="s">
        <v>314</v>
      </c>
      <c r="H63" s="46" t="s">
        <v>190</v>
      </c>
      <c r="I63" s="46" t="s">
        <v>312</v>
      </c>
      <c r="J63" s="4">
        <v>354</v>
      </c>
      <c r="K63" s="28">
        <v>40867</v>
      </c>
      <c r="L63" s="13" t="s">
        <v>21</v>
      </c>
      <c r="M63" s="46" t="s">
        <v>23</v>
      </c>
      <c r="N63" s="46" t="s">
        <v>662</v>
      </c>
      <c r="O63" s="48"/>
      <c r="P63" s="2"/>
    </row>
    <row r="64" spans="1:16" x14ac:dyDescent="0.25">
      <c r="A64" s="36" t="s">
        <v>330</v>
      </c>
      <c r="B64" s="47" t="s">
        <v>13</v>
      </c>
      <c r="C64" s="46" t="s">
        <v>188</v>
      </c>
      <c r="D64" s="46" t="s">
        <v>68</v>
      </c>
      <c r="E64" s="46" t="s">
        <v>63</v>
      </c>
      <c r="F64" s="46" t="s">
        <v>325</v>
      </c>
      <c r="G64" s="57" t="s">
        <v>692</v>
      </c>
      <c r="H64" s="46" t="s">
        <v>190</v>
      </c>
      <c r="I64" s="46" t="s">
        <v>333</v>
      </c>
      <c r="J64" s="4">
        <v>749</v>
      </c>
      <c r="K64" s="28">
        <v>41262</v>
      </c>
      <c r="L64" s="13" t="s">
        <v>21</v>
      </c>
      <c r="M64" s="46" t="s">
        <v>54</v>
      </c>
      <c r="N64" s="46" t="s">
        <v>662</v>
      </c>
      <c r="O64" s="48"/>
      <c r="P64" s="2"/>
    </row>
    <row r="65" spans="1:16" x14ac:dyDescent="0.25">
      <c r="A65" s="36" t="s">
        <v>241</v>
      </c>
      <c r="B65" s="47" t="s">
        <v>13</v>
      </c>
      <c r="C65" s="46" t="s">
        <v>366</v>
      </c>
      <c r="D65" s="46" t="s">
        <v>56</v>
      </c>
      <c r="E65" s="46" t="s">
        <v>15</v>
      </c>
      <c r="F65" s="46" t="s">
        <v>136</v>
      </c>
      <c r="G65" s="46" t="s">
        <v>242</v>
      </c>
      <c r="H65" s="46" t="s">
        <v>47</v>
      </c>
      <c r="I65" s="46" t="s">
        <v>243</v>
      </c>
      <c r="J65" s="4">
        <v>518</v>
      </c>
      <c r="K65" s="28">
        <v>41031</v>
      </c>
      <c r="L65" s="13" t="s">
        <v>21</v>
      </c>
      <c r="M65" s="46" t="s">
        <v>23</v>
      </c>
      <c r="N65" s="46" t="s">
        <v>16</v>
      </c>
      <c r="O65" s="48"/>
      <c r="P65" s="2"/>
    </row>
    <row r="66" spans="1:16" x14ac:dyDescent="0.25">
      <c r="A66" s="36" t="s">
        <v>330</v>
      </c>
      <c r="B66" s="47" t="s">
        <v>13</v>
      </c>
      <c r="C66" s="46" t="s">
        <v>188</v>
      </c>
      <c r="D66" s="46" t="s">
        <v>68</v>
      </c>
      <c r="E66" s="46" t="s">
        <v>63</v>
      </c>
      <c r="F66" s="46" t="s">
        <v>328</v>
      </c>
      <c r="G66" s="58" t="s">
        <v>691</v>
      </c>
      <c r="H66" s="46" t="s">
        <v>190</v>
      </c>
      <c r="I66" s="46" t="s">
        <v>333</v>
      </c>
      <c r="J66" s="4">
        <v>749</v>
      </c>
      <c r="K66" s="28">
        <v>41262</v>
      </c>
      <c r="L66" s="13" t="s">
        <v>21</v>
      </c>
      <c r="M66" s="46" t="s">
        <v>22</v>
      </c>
      <c r="N66" s="46" t="s">
        <v>662</v>
      </c>
      <c r="O66" s="48"/>
      <c r="P66" s="2"/>
    </row>
    <row r="67" spans="1:16" x14ac:dyDescent="0.25">
      <c r="A67" s="36" t="s">
        <v>241</v>
      </c>
      <c r="B67" s="47" t="s">
        <v>13</v>
      </c>
      <c r="C67" s="46" t="s">
        <v>366</v>
      </c>
      <c r="D67" s="46" t="s">
        <v>56</v>
      </c>
      <c r="E67" s="46" t="s">
        <v>15</v>
      </c>
      <c r="F67" s="46" t="s">
        <v>244</v>
      </c>
      <c r="G67" s="46" t="s">
        <v>245</v>
      </c>
      <c r="H67" s="46" t="s">
        <v>47</v>
      </c>
      <c r="I67" s="46" t="s">
        <v>243</v>
      </c>
      <c r="J67" s="4">
        <v>518</v>
      </c>
      <c r="K67" s="28">
        <v>41031</v>
      </c>
      <c r="L67" s="13" t="s">
        <v>21</v>
      </c>
      <c r="M67" s="46" t="s">
        <v>24</v>
      </c>
      <c r="N67" s="46" t="s">
        <v>16</v>
      </c>
      <c r="O67" s="48"/>
      <c r="P67" s="2"/>
    </row>
    <row r="68" spans="1:16" x14ac:dyDescent="0.25">
      <c r="A68" s="36" t="s">
        <v>330</v>
      </c>
      <c r="B68" s="47" t="s">
        <v>13</v>
      </c>
      <c r="C68" s="46" t="s">
        <v>188</v>
      </c>
      <c r="D68" s="46" t="s">
        <v>68</v>
      </c>
      <c r="E68" s="46" t="s">
        <v>63</v>
      </c>
      <c r="F68" s="46" t="s">
        <v>329</v>
      </c>
      <c r="G68" s="56" t="s">
        <v>695</v>
      </c>
      <c r="H68" s="46" t="s">
        <v>190</v>
      </c>
      <c r="I68" s="46" t="s">
        <v>333</v>
      </c>
      <c r="J68" s="4">
        <v>1479</v>
      </c>
      <c r="K68" s="28">
        <v>41992</v>
      </c>
      <c r="L68" s="13" t="s">
        <v>21</v>
      </c>
      <c r="M68" s="46" t="s">
        <v>23</v>
      </c>
      <c r="N68" s="46" t="s">
        <v>662</v>
      </c>
      <c r="O68" s="48"/>
      <c r="P68" s="2"/>
    </row>
    <row r="69" spans="1:16" x14ac:dyDescent="0.25">
      <c r="A69" s="36" t="s">
        <v>335</v>
      </c>
      <c r="B69" s="47" t="s">
        <v>13</v>
      </c>
      <c r="C69" s="46" t="s">
        <v>188</v>
      </c>
      <c r="D69" s="46" t="s">
        <v>68</v>
      </c>
      <c r="E69" s="46" t="s">
        <v>63</v>
      </c>
      <c r="F69" s="46" t="s">
        <v>328</v>
      </c>
      <c r="G69" s="56" t="s">
        <v>696</v>
      </c>
      <c r="H69" s="46" t="s">
        <v>190</v>
      </c>
      <c r="I69" s="46" t="s">
        <v>336</v>
      </c>
      <c r="J69" s="4">
        <v>749</v>
      </c>
      <c r="K69" s="28">
        <v>41262</v>
      </c>
      <c r="L69" s="13" t="s">
        <v>21</v>
      </c>
      <c r="M69" s="46" t="s">
        <v>22</v>
      </c>
      <c r="N69" s="46" t="s">
        <v>662</v>
      </c>
      <c r="O69" s="48"/>
      <c r="P69" s="2"/>
    </row>
    <row r="70" spans="1:16" x14ac:dyDescent="0.25">
      <c r="A70" s="36" t="s">
        <v>335</v>
      </c>
      <c r="B70" s="47" t="s">
        <v>13</v>
      </c>
      <c r="C70" s="46" t="s">
        <v>188</v>
      </c>
      <c r="D70" s="46" t="s">
        <v>68</v>
      </c>
      <c r="E70" s="46" t="s">
        <v>63</v>
      </c>
      <c r="F70" s="46" t="s">
        <v>329</v>
      </c>
      <c r="G70" s="56" t="s">
        <v>697</v>
      </c>
      <c r="H70" s="46" t="s">
        <v>190</v>
      </c>
      <c r="I70" s="46" t="s">
        <v>336</v>
      </c>
      <c r="J70" s="4">
        <v>1479</v>
      </c>
      <c r="K70" s="28">
        <v>41992</v>
      </c>
      <c r="L70" s="13" t="s">
        <v>21</v>
      </c>
      <c r="M70" s="46" t="s">
        <v>23</v>
      </c>
      <c r="N70" s="46" t="s">
        <v>662</v>
      </c>
      <c r="O70" s="48"/>
      <c r="P70" s="2"/>
    </row>
    <row r="71" spans="1:16" x14ac:dyDescent="0.25">
      <c r="A71" s="36" t="s">
        <v>335</v>
      </c>
      <c r="B71" s="47" t="s">
        <v>13</v>
      </c>
      <c r="C71" s="46" t="s">
        <v>188</v>
      </c>
      <c r="D71" s="46" t="s">
        <v>68</v>
      </c>
      <c r="E71" s="46" t="s">
        <v>63</v>
      </c>
      <c r="F71" s="46" t="s">
        <v>325</v>
      </c>
      <c r="G71" s="56" t="s">
        <v>698</v>
      </c>
      <c r="H71" s="46" t="s">
        <v>190</v>
      </c>
      <c r="I71" s="46" t="s">
        <v>336</v>
      </c>
      <c r="J71" s="4">
        <v>749</v>
      </c>
      <c r="K71" s="28">
        <v>41262</v>
      </c>
      <c r="L71" s="13" t="s">
        <v>21</v>
      </c>
      <c r="M71" s="46" t="s">
        <v>24</v>
      </c>
      <c r="N71" s="46" t="s">
        <v>662</v>
      </c>
      <c r="O71" s="48"/>
      <c r="P71" s="2"/>
    </row>
    <row r="72" spans="1:16" x14ac:dyDescent="0.25">
      <c r="A72" s="36" t="s">
        <v>228</v>
      </c>
      <c r="B72" s="47" t="s">
        <v>13</v>
      </c>
      <c r="C72" s="46" t="s">
        <v>0</v>
      </c>
      <c r="D72" s="46" t="s">
        <v>68</v>
      </c>
      <c r="E72" s="46" t="s">
        <v>15</v>
      </c>
      <c r="F72" s="46" t="s">
        <v>121</v>
      </c>
      <c r="G72" s="46" t="s">
        <v>232</v>
      </c>
      <c r="H72" s="46" t="s">
        <v>47</v>
      </c>
      <c r="I72" s="46" t="s">
        <v>231</v>
      </c>
      <c r="J72" s="4">
        <v>1553</v>
      </c>
      <c r="K72" s="28">
        <v>42066</v>
      </c>
      <c r="L72" s="13" t="s">
        <v>21</v>
      </c>
      <c r="M72" s="46" t="s">
        <v>22</v>
      </c>
      <c r="N72" s="46" t="s">
        <v>16</v>
      </c>
      <c r="O72" s="48"/>
      <c r="P72" s="2"/>
    </row>
    <row r="73" spans="1:16" x14ac:dyDescent="0.25">
      <c r="A73" s="36" t="s">
        <v>170</v>
      </c>
      <c r="B73" s="47" t="s">
        <v>13</v>
      </c>
      <c r="C73" s="46" t="s">
        <v>139</v>
      </c>
      <c r="D73" s="46" t="s">
        <v>44</v>
      </c>
      <c r="E73" s="46" t="s">
        <v>15</v>
      </c>
      <c r="F73" s="46" t="s">
        <v>175</v>
      </c>
      <c r="G73" s="46" t="s">
        <v>176</v>
      </c>
      <c r="H73" s="46" t="s">
        <v>47</v>
      </c>
      <c r="I73" s="46" t="s">
        <v>172</v>
      </c>
      <c r="J73" s="4">
        <v>2345</v>
      </c>
      <c r="K73" s="28">
        <v>42858</v>
      </c>
      <c r="L73" s="13" t="s">
        <v>21</v>
      </c>
      <c r="M73" s="46" t="s">
        <v>54</v>
      </c>
      <c r="N73" s="46" t="s">
        <v>16</v>
      </c>
      <c r="O73" s="48">
        <v>1E-3</v>
      </c>
      <c r="P73" s="2"/>
    </row>
    <row r="74" spans="1:16" x14ac:dyDescent="0.25">
      <c r="A74" s="36" t="s">
        <v>170</v>
      </c>
      <c r="B74" s="47" t="s">
        <v>13</v>
      </c>
      <c r="C74" s="46" t="s">
        <v>139</v>
      </c>
      <c r="D74" s="46" t="s">
        <v>44</v>
      </c>
      <c r="E74" s="46" t="s">
        <v>15</v>
      </c>
      <c r="F74" s="46" t="s">
        <v>153</v>
      </c>
      <c r="G74" s="46" t="s">
        <v>177</v>
      </c>
      <c r="H74" s="46" t="s">
        <v>47</v>
      </c>
      <c r="I74" s="46" t="s">
        <v>172</v>
      </c>
      <c r="J74" s="4">
        <v>1979</v>
      </c>
      <c r="K74" s="28">
        <v>42492</v>
      </c>
      <c r="L74" s="13" t="s">
        <v>21</v>
      </c>
      <c r="M74" s="46" t="s">
        <v>23</v>
      </c>
      <c r="N74" s="46" t="s">
        <v>16</v>
      </c>
      <c r="O74" s="48">
        <v>1E-3</v>
      </c>
      <c r="P74" s="2"/>
    </row>
    <row r="75" spans="1:16" x14ac:dyDescent="0.25">
      <c r="A75" s="36" t="s">
        <v>444</v>
      </c>
      <c r="B75" s="47" t="s">
        <v>17</v>
      </c>
      <c r="C75" s="46" t="s">
        <v>0</v>
      </c>
      <c r="D75" s="46" t="s">
        <v>56</v>
      </c>
      <c r="E75" s="46" t="s">
        <v>15</v>
      </c>
      <c r="F75" s="46" t="s">
        <v>185</v>
      </c>
      <c r="G75" s="46" t="s">
        <v>449</v>
      </c>
      <c r="H75" s="46" t="s">
        <v>47</v>
      </c>
      <c r="I75" s="46" t="s">
        <v>446</v>
      </c>
      <c r="J75" s="4">
        <v>2345</v>
      </c>
      <c r="K75" s="28">
        <v>42858</v>
      </c>
      <c r="L75" s="13"/>
      <c r="M75" s="46" t="s">
        <v>23</v>
      </c>
      <c r="N75" s="46" t="s">
        <v>16</v>
      </c>
      <c r="O75" s="48">
        <v>1E-3</v>
      </c>
      <c r="P75" s="2">
        <v>0.05</v>
      </c>
    </row>
    <row r="76" spans="1:16" x14ac:dyDescent="0.25">
      <c r="A76" s="36" t="s">
        <v>444</v>
      </c>
      <c r="B76" s="47" t="s">
        <v>17</v>
      </c>
      <c r="C76" s="46" t="s">
        <v>0</v>
      </c>
      <c r="D76" s="46" t="s">
        <v>56</v>
      </c>
      <c r="E76" s="46" t="s">
        <v>15</v>
      </c>
      <c r="F76" s="46" t="s">
        <v>198</v>
      </c>
      <c r="G76" s="46" t="s">
        <v>450</v>
      </c>
      <c r="H76" s="46" t="s">
        <v>47</v>
      </c>
      <c r="I76" s="46" t="s">
        <v>446</v>
      </c>
      <c r="J76" s="4">
        <v>1979</v>
      </c>
      <c r="K76" s="28">
        <v>42492</v>
      </c>
      <c r="L76" s="13"/>
      <c r="M76" s="46" t="s">
        <v>22</v>
      </c>
      <c r="N76" s="46" t="s">
        <v>16</v>
      </c>
      <c r="O76" s="48">
        <v>1E-3</v>
      </c>
      <c r="P76" s="2">
        <v>0.05</v>
      </c>
    </row>
    <row r="77" spans="1:16" x14ac:dyDescent="0.25">
      <c r="A77" s="36" t="s">
        <v>43</v>
      </c>
      <c r="B77" s="47" t="s">
        <v>13</v>
      </c>
      <c r="C77" s="46" t="s">
        <v>0</v>
      </c>
      <c r="D77" s="46" t="s">
        <v>44</v>
      </c>
      <c r="E77" s="46" t="s">
        <v>15</v>
      </c>
      <c r="F77" s="46" t="s">
        <v>51</v>
      </c>
      <c r="G77" s="46" t="s">
        <v>52</v>
      </c>
      <c r="H77" s="46" t="s">
        <v>47</v>
      </c>
      <c r="I77" s="46" t="s">
        <v>48</v>
      </c>
      <c r="J77" s="4">
        <v>1979</v>
      </c>
      <c r="K77" s="28">
        <v>42492</v>
      </c>
      <c r="L77" s="13" t="s">
        <v>21</v>
      </c>
      <c r="M77" s="46" t="s">
        <v>24</v>
      </c>
      <c r="N77" s="46" t="s">
        <v>16</v>
      </c>
      <c r="O77" s="48">
        <v>1E-3</v>
      </c>
      <c r="P77" s="2"/>
    </row>
    <row r="78" spans="1:16" x14ac:dyDescent="0.25">
      <c r="A78" s="36" t="s">
        <v>43</v>
      </c>
      <c r="B78" s="47" t="s">
        <v>13</v>
      </c>
      <c r="C78" s="46" t="s">
        <v>0</v>
      </c>
      <c r="D78" s="46" t="s">
        <v>44</v>
      </c>
      <c r="E78" s="46" t="s">
        <v>15</v>
      </c>
      <c r="F78" s="46" t="s">
        <v>45</v>
      </c>
      <c r="G78" s="46" t="s">
        <v>53</v>
      </c>
      <c r="H78" s="46" t="s">
        <v>47</v>
      </c>
      <c r="I78" s="46" t="s">
        <v>48</v>
      </c>
      <c r="J78" s="4">
        <v>2345</v>
      </c>
      <c r="K78" s="28">
        <v>42858</v>
      </c>
      <c r="L78" s="13" t="s">
        <v>21</v>
      </c>
      <c r="M78" s="46" t="s">
        <v>54</v>
      </c>
      <c r="N78" s="46" t="s">
        <v>16</v>
      </c>
      <c r="O78" s="48">
        <v>0</v>
      </c>
      <c r="P78" s="2"/>
    </row>
    <row r="79" spans="1:16" x14ac:dyDescent="0.25">
      <c r="A79" s="36" t="s">
        <v>596</v>
      </c>
      <c r="B79" s="47" t="s">
        <v>17</v>
      </c>
      <c r="C79" s="46" t="s">
        <v>139</v>
      </c>
      <c r="D79" s="46" t="s">
        <v>68</v>
      </c>
      <c r="E79" s="46" t="s">
        <v>15</v>
      </c>
      <c r="F79" s="46" t="s">
        <v>362</v>
      </c>
      <c r="G79" s="46" t="s">
        <v>607</v>
      </c>
      <c r="H79" s="46" t="s">
        <v>47</v>
      </c>
      <c r="I79" s="46" t="s">
        <v>598</v>
      </c>
      <c r="J79" s="4">
        <v>1979</v>
      </c>
      <c r="K79" s="28">
        <v>42492</v>
      </c>
      <c r="L79" s="13"/>
      <c r="M79" s="46" t="s">
        <v>22</v>
      </c>
      <c r="N79" s="46" t="s">
        <v>16</v>
      </c>
      <c r="O79" s="48">
        <v>1E-3</v>
      </c>
      <c r="P79" s="2">
        <v>0.05</v>
      </c>
    </row>
    <row r="80" spans="1:16" x14ac:dyDescent="0.25">
      <c r="A80" s="36" t="s">
        <v>596</v>
      </c>
      <c r="B80" s="47" t="s">
        <v>17</v>
      </c>
      <c r="C80" s="46" t="s">
        <v>139</v>
      </c>
      <c r="D80" s="46" t="s">
        <v>68</v>
      </c>
      <c r="E80" s="46" t="s">
        <v>15</v>
      </c>
      <c r="F80" s="46" t="s">
        <v>391</v>
      </c>
      <c r="G80" s="46" t="s">
        <v>608</v>
      </c>
      <c r="H80" s="46" t="s">
        <v>47</v>
      </c>
      <c r="I80" s="46" t="s">
        <v>598</v>
      </c>
      <c r="J80" s="4">
        <v>2345</v>
      </c>
      <c r="K80" s="28">
        <v>42858</v>
      </c>
      <c r="L80" s="13"/>
      <c r="M80" s="46" t="s">
        <v>23</v>
      </c>
      <c r="N80" s="46" t="s">
        <v>16</v>
      </c>
      <c r="O80" s="48">
        <v>1E-3</v>
      </c>
      <c r="P80" s="2">
        <v>0.05</v>
      </c>
    </row>
    <row r="81" spans="1:16" x14ac:dyDescent="0.25">
      <c r="A81" s="36" t="s">
        <v>596</v>
      </c>
      <c r="B81" s="47" t="s">
        <v>17</v>
      </c>
      <c r="C81" s="46" t="s">
        <v>139</v>
      </c>
      <c r="D81" s="46" t="s">
        <v>68</v>
      </c>
      <c r="E81" s="46" t="s">
        <v>15</v>
      </c>
      <c r="F81" s="46" t="s">
        <v>115</v>
      </c>
      <c r="G81" s="46" t="s">
        <v>609</v>
      </c>
      <c r="H81" s="46" t="s">
        <v>47</v>
      </c>
      <c r="I81" s="46" t="s">
        <v>598</v>
      </c>
      <c r="J81" s="4">
        <v>1795</v>
      </c>
      <c r="K81" s="28">
        <v>42308</v>
      </c>
      <c r="L81" s="13"/>
      <c r="M81" s="46" t="s">
        <v>22</v>
      </c>
      <c r="N81" s="46" t="s">
        <v>16</v>
      </c>
      <c r="O81" s="48">
        <v>1E-3</v>
      </c>
      <c r="P81" s="2">
        <v>0.05</v>
      </c>
    </row>
    <row r="82" spans="1:16" x14ac:dyDescent="0.25">
      <c r="A82" s="36" t="s">
        <v>178</v>
      </c>
      <c r="B82" s="47" t="s">
        <v>13</v>
      </c>
      <c r="C82" s="46" t="s">
        <v>0</v>
      </c>
      <c r="D82" s="46" t="s">
        <v>68</v>
      </c>
      <c r="E82" s="46" t="s">
        <v>15</v>
      </c>
      <c r="F82" s="46" t="s">
        <v>179</v>
      </c>
      <c r="G82" s="46" t="s">
        <v>180</v>
      </c>
      <c r="H82" s="46" t="s">
        <v>47</v>
      </c>
      <c r="I82" s="46" t="s">
        <v>181</v>
      </c>
      <c r="J82" s="4">
        <v>1674</v>
      </c>
      <c r="K82" s="28">
        <v>42187</v>
      </c>
      <c r="L82" s="13" t="s">
        <v>21</v>
      </c>
      <c r="M82" s="46" t="s">
        <v>22</v>
      </c>
      <c r="N82" s="46" t="s">
        <v>16</v>
      </c>
      <c r="O82" s="48">
        <v>1E-3</v>
      </c>
      <c r="P82" s="2"/>
    </row>
    <row r="83" spans="1:16" x14ac:dyDescent="0.25">
      <c r="A83" s="36" t="s">
        <v>500</v>
      </c>
      <c r="B83" s="47" t="s">
        <v>17</v>
      </c>
      <c r="C83" s="46" t="s">
        <v>0</v>
      </c>
      <c r="D83" s="46" t="s">
        <v>56</v>
      </c>
      <c r="E83" s="46" t="s">
        <v>15</v>
      </c>
      <c r="F83" s="46" t="s">
        <v>504</v>
      </c>
      <c r="G83" s="46" t="s">
        <v>505</v>
      </c>
      <c r="H83" s="46" t="s">
        <v>47</v>
      </c>
      <c r="I83" s="46" t="s">
        <v>502</v>
      </c>
      <c r="J83" s="4">
        <v>884</v>
      </c>
      <c r="K83" s="28">
        <v>41397</v>
      </c>
      <c r="L83" s="13"/>
      <c r="M83" s="46" t="s">
        <v>54</v>
      </c>
      <c r="N83" s="46" t="s">
        <v>16</v>
      </c>
      <c r="O83" s="48">
        <v>1E-3</v>
      </c>
      <c r="P83" s="2">
        <v>0.05</v>
      </c>
    </row>
    <row r="84" spans="1:16" x14ac:dyDescent="0.25">
      <c r="A84" s="36" t="s">
        <v>277</v>
      </c>
      <c r="B84" s="23" t="s">
        <v>13</v>
      </c>
      <c r="C84" s="46" t="s">
        <v>366</v>
      </c>
      <c r="D84" s="46" t="s">
        <v>68</v>
      </c>
      <c r="E84" s="46" t="s">
        <v>15</v>
      </c>
      <c r="F84" s="46" t="s">
        <v>278</v>
      </c>
      <c r="G84" s="46" t="s">
        <v>279</v>
      </c>
      <c r="H84" s="46" t="s">
        <v>47</v>
      </c>
      <c r="I84" s="46" t="s">
        <v>280</v>
      </c>
      <c r="J84" s="4">
        <v>607</v>
      </c>
      <c r="K84" s="28">
        <v>41120</v>
      </c>
      <c r="L84" s="55" t="s">
        <v>21</v>
      </c>
      <c r="M84" s="46" t="s">
        <v>23</v>
      </c>
      <c r="N84" s="46" t="s">
        <v>16</v>
      </c>
      <c r="O84" s="48"/>
      <c r="P84" s="52"/>
    </row>
    <row r="85" spans="1:16" x14ac:dyDescent="0.25">
      <c r="A85" s="36" t="s">
        <v>654</v>
      </c>
      <c r="B85" s="47" t="s">
        <v>17</v>
      </c>
      <c r="C85" s="46" t="s">
        <v>188</v>
      </c>
      <c r="D85" s="46">
        <v>1</v>
      </c>
      <c r="E85" s="46" t="s">
        <v>63</v>
      </c>
      <c r="F85" s="46" t="s">
        <v>655</v>
      </c>
      <c r="G85" s="46" t="s">
        <v>656</v>
      </c>
      <c r="H85" s="46" t="s">
        <v>190</v>
      </c>
      <c r="I85" s="46" t="s">
        <v>657</v>
      </c>
      <c r="J85" s="4">
        <v>1</v>
      </c>
      <c r="K85" s="28">
        <v>40514</v>
      </c>
      <c r="L85" s="13"/>
      <c r="M85" s="46" t="s">
        <v>54</v>
      </c>
      <c r="N85" s="46" t="s">
        <v>662</v>
      </c>
      <c r="O85" s="48"/>
      <c r="P85" s="2"/>
    </row>
    <row r="86" spans="1:16" x14ac:dyDescent="0.25">
      <c r="A86" s="36" t="s">
        <v>277</v>
      </c>
      <c r="B86" s="23" t="s">
        <v>13</v>
      </c>
      <c r="C86" s="46" t="s">
        <v>366</v>
      </c>
      <c r="D86" s="46" t="s">
        <v>68</v>
      </c>
      <c r="E86" s="46" t="s">
        <v>15</v>
      </c>
      <c r="F86" s="46" t="s">
        <v>281</v>
      </c>
      <c r="G86" s="46" t="s">
        <v>282</v>
      </c>
      <c r="H86" s="46" t="s">
        <v>47</v>
      </c>
      <c r="I86" s="46" t="s">
        <v>280</v>
      </c>
      <c r="J86" s="4">
        <v>607</v>
      </c>
      <c r="K86" s="28">
        <v>41120</v>
      </c>
      <c r="L86" s="55" t="s">
        <v>21</v>
      </c>
      <c r="M86" s="46" t="s">
        <v>24</v>
      </c>
      <c r="N86" s="46" t="s">
        <v>16</v>
      </c>
      <c r="O86" s="48"/>
      <c r="P86" s="52"/>
    </row>
    <row r="87" spans="1:16" x14ac:dyDescent="0.25">
      <c r="A87" s="36" t="s">
        <v>310</v>
      </c>
      <c r="B87" s="23" t="s">
        <v>13</v>
      </c>
      <c r="C87" s="46" t="s">
        <v>366</v>
      </c>
      <c r="D87" s="46" t="s">
        <v>56</v>
      </c>
      <c r="E87" s="46" t="s">
        <v>63</v>
      </c>
      <c r="F87" s="46" t="s">
        <v>51</v>
      </c>
      <c r="G87" s="46" t="s">
        <v>311</v>
      </c>
      <c r="H87" s="46" t="s">
        <v>190</v>
      </c>
      <c r="I87" s="46" t="s">
        <v>312</v>
      </c>
      <c r="J87" s="4">
        <v>646</v>
      </c>
      <c r="K87" s="28">
        <v>41159</v>
      </c>
      <c r="L87" s="55" t="s">
        <v>21</v>
      </c>
      <c r="M87" s="46" t="s">
        <v>22</v>
      </c>
      <c r="N87" s="46" t="s">
        <v>662</v>
      </c>
      <c r="O87" s="48"/>
      <c r="P87" s="2"/>
    </row>
    <row r="88" spans="1:16" x14ac:dyDescent="0.25">
      <c r="A88" s="36" t="s">
        <v>155</v>
      </c>
      <c r="B88" s="47" t="s">
        <v>13</v>
      </c>
      <c r="C88" s="46" t="s">
        <v>139</v>
      </c>
      <c r="D88" s="46" t="s">
        <v>56</v>
      </c>
      <c r="E88" s="46" t="s">
        <v>63</v>
      </c>
      <c r="F88" s="46" t="s">
        <v>161</v>
      </c>
      <c r="G88" s="46" t="s">
        <v>162</v>
      </c>
      <c r="H88" s="46" t="s">
        <v>158</v>
      </c>
      <c r="I88" s="46" t="s">
        <v>159</v>
      </c>
      <c r="J88" s="4">
        <v>1979</v>
      </c>
      <c r="K88" s="28">
        <v>42492</v>
      </c>
      <c r="L88" s="13" t="s">
        <v>21</v>
      </c>
      <c r="M88" s="46" t="s">
        <v>24</v>
      </c>
      <c r="N88" s="46" t="s">
        <v>662</v>
      </c>
      <c r="O88" s="48">
        <v>1E-3</v>
      </c>
      <c r="P88" s="2"/>
    </row>
    <row r="89" spans="1:16" x14ac:dyDescent="0.25">
      <c r="A89" s="36" t="s">
        <v>346</v>
      </c>
      <c r="B89" s="47" t="s">
        <v>13</v>
      </c>
      <c r="C89" s="46" t="s">
        <v>0</v>
      </c>
      <c r="D89" s="46" t="s">
        <v>68</v>
      </c>
      <c r="E89" s="46" t="s">
        <v>15</v>
      </c>
      <c r="F89" s="46" t="s">
        <v>121</v>
      </c>
      <c r="G89" s="46" t="s">
        <v>347</v>
      </c>
      <c r="H89" s="46" t="s">
        <v>47</v>
      </c>
      <c r="I89" s="46" t="s">
        <v>348</v>
      </c>
      <c r="J89" s="4">
        <v>237</v>
      </c>
      <c r="K89" s="28">
        <v>40750</v>
      </c>
      <c r="L89" s="13" t="s">
        <v>21</v>
      </c>
      <c r="M89" s="46" t="s">
        <v>24</v>
      </c>
      <c r="N89" s="46" t="s">
        <v>16</v>
      </c>
      <c r="O89" s="48"/>
      <c r="P89" s="2"/>
    </row>
    <row r="90" spans="1:16" x14ac:dyDescent="0.25">
      <c r="A90" s="36" t="s">
        <v>346</v>
      </c>
      <c r="B90" s="47" t="s">
        <v>13</v>
      </c>
      <c r="C90" s="46" t="s">
        <v>0</v>
      </c>
      <c r="D90" s="46" t="s">
        <v>68</v>
      </c>
      <c r="E90" s="46" t="s">
        <v>15</v>
      </c>
      <c r="F90" s="46" t="s">
        <v>76</v>
      </c>
      <c r="G90" s="46" t="s">
        <v>349</v>
      </c>
      <c r="H90" s="46" t="s">
        <v>47</v>
      </c>
      <c r="I90" s="46" t="s">
        <v>348</v>
      </c>
      <c r="J90" s="4">
        <v>237</v>
      </c>
      <c r="K90" s="28">
        <v>40750</v>
      </c>
      <c r="L90" s="13" t="s">
        <v>21</v>
      </c>
      <c r="M90" s="46" t="s">
        <v>54</v>
      </c>
      <c r="N90" s="46" t="s">
        <v>16</v>
      </c>
      <c r="O90" s="48"/>
      <c r="P90" s="2"/>
    </row>
    <row r="91" spans="1:16" x14ac:dyDescent="0.25">
      <c r="A91" s="36" t="s">
        <v>228</v>
      </c>
      <c r="B91" s="47" t="s">
        <v>13</v>
      </c>
      <c r="C91" s="46" t="s">
        <v>0</v>
      </c>
      <c r="D91" s="46" t="s">
        <v>68</v>
      </c>
      <c r="E91" s="46" t="s">
        <v>15</v>
      </c>
      <c r="F91" s="46" t="s">
        <v>229</v>
      </c>
      <c r="G91" s="46" t="s">
        <v>230</v>
      </c>
      <c r="H91" s="46" t="s">
        <v>47</v>
      </c>
      <c r="I91" s="46" t="s">
        <v>231</v>
      </c>
      <c r="J91" s="4">
        <v>916</v>
      </c>
      <c r="K91" s="28">
        <v>41429</v>
      </c>
      <c r="L91" s="13" t="s">
        <v>21</v>
      </c>
      <c r="M91" s="46" t="s">
        <v>23</v>
      </c>
      <c r="N91" s="46" t="s">
        <v>16</v>
      </c>
      <c r="O91" s="48"/>
      <c r="P91" s="2"/>
    </row>
    <row r="92" spans="1:16" x14ac:dyDescent="0.25">
      <c r="A92" s="36" t="s">
        <v>426</v>
      </c>
      <c r="B92" s="47" t="s">
        <v>17</v>
      </c>
      <c r="C92" s="46" t="s">
        <v>139</v>
      </c>
      <c r="D92" s="46" t="s">
        <v>68</v>
      </c>
      <c r="E92" s="46" t="s">
        <v>15</v>
      </c>
      <c r="F92" s="46" t="s">
        <v>427</v>
      </c>
      <c r="G92" s="46" t="s">
        <v>428</v>
      </c>
      <c r="H92" s="46" t="s">
        <v>47</v>
      </c>
      <c r="I92" s="46" t="s">
        <v>429</v>
      </c>
      <c r="J92" s="4">
        <v>542</v>
      </c>
      <c r="K92" s="28">
        <v>41055</v>
      </c>
      <c r="L92" s="13"/>
      <c r="M92" s="46" t="s">
        <v>54</v>
      </c>
      <c r="N92" s="46" t="s">
        <v>16</v>
      </c>
      <c r="O92" s="48">
        <v>1E-3</v>
      </c>
      <c r="P92" s="2">
        <v>0.05</v>
      </c>
    </row>
    <row r="93" spans="1:16" x14ac:dyDescent="0.25">
      <c r="A93" s="36" t="s">
        <v>426</v>
      </c>
      <c r="B93" s="47" t="s">
        <v>17</v>
      </c>
      <c r="C93" s="46" t="s">
        <v>139</v>
      </c>
      <c r="D93" s="46" t="s">
        <v>68</v>
      </c>
      <c r="E93" s="46" t="s">
        <v>15</v>
      </c>
      <c r="F93" s="46" t="s">
        <v>427</v>
      </c>
      <c r="G93" s="46" t="s">
        <v>684</v>
      </c>
      <c r="H93" s="46" t="s">
        <v>47</v>
      </c>
      <c r="I93" s="46" t="s">
        <v>429</v>
      </c>
      <c r="J93" s="4">
        <v>542</v>
      </c>
      <c r="K93" s="28">
        <v>41055</v>
      </c>
      <c r="L93" s="13"/>
      <c r="M93" s="46" t="s">
        <v>22</v>
      </c>
      <c r="N93" s="46" t="s">
        <v>16</v>
      </c>
      <c r="O93" s="48">
        <v>1E-3</v>
      </c>
      <c r="P93" s="2">
        <v>0.05</v>
      </c>
    </row>
    <row r="94" spans="1:16" x14ac:dyDescent="0.25">
      <c r="A94" s="36" t="s">
        <v>593</v>
      </c>
      <c r="B94" s="47" t="s">
        <v>17</v>
      </c>
      <c r="C94" s="46" t="s">
        <v>188</v>
      </c>
      <c r="D94" s="46" t="s">
        <v>80</v>
      </c>
      <c r="E94" s="46" t="s">
        <v>63</v>
      </c>
      <c r="F94" s="46" t="s">
        <v>390</v>
      </c>
      <c r="G94" s="46" t="s">
        <v>594</v>
      </c>
      <c r="H94" s="46" t="s">
        <v>221</v>
      </c>
      <c r="I94" s="46" t="s">
        <v>595</v>
      </c>
      <c r="J94" s="4">
        <v>1</v>
      </c>
      <c r="K94" s="28">
        <v>40514</v>
      </c>
      <c r="L94" s="13"/>
      <c r="M94" s="46" t="s">
        <v>54</v>
      </c>
      <c r="N94" s="46" t="s">
        <v>662</v>
      </c>
      <c r="O94" s="48">
        <v>1E-3</v>
      </c>
      <c r="P94" s="2">
        <v>0.05</v>
      </c>
    </row>
    <row r="95" spans="1:16" x14ac:dyDescent="0.25">
      <c r="A95" s="36" t="s">
        <v>254</v>
      </c>
      <c r="B95" s="47" t="s">
        <v>13</v>
      </c>
      <c r="C95" s="46" t="s">
        <v>139</v>
      </c>
      <c r="D95" s="46" t="s">
        <v>44</v>
      </c>
      <c r="E95" s="46" t="s">
        <v>15</v>
      </c>
      <c r="F95" s="46" t="s">
        <v>255</v>
      </c>
      <c r="G95" s="46" t="s">
        <v>256</v>
      </c>
      <c r="H95" s="46" t="s">
        <v>47</v>
      </c>
      <c r="I95" s="46" t="s">
        <v>257</v>
      </c>
      <c r="J95" s="4">
        <v>516</v>
      </c>
      <c r="K95" s="28">
        <v>41029</v>
      </c>
      <c r="L95" s="13" t="s">
        <v>21</v>
      </c>
      <c r="M95" s="46" t="s">
        <v>22</v>
      </c>
      <c r="N95" s="46" t="s">
        <v>16</v>
      </c>
      <c r="O95" s="48"/>
      <c r="P95" s="2"/>
    </row>
    <row r="96" spans="1:16" x14ac:dyDescent="0.25">
      <c r="A96" s="36" t="s">
        <v>254</v>
      </c>
      <c r="B96" s="47" t="s">
        <v>13</v>
      </c>
      <c r="C96" s="46" t="s">
        <v>139</v>
      </c>
      <c r="D96" s="46" t="s">
        <v>44</v>
      </c>
      <c r="E96" s="46" t="s">
        <v>15</v>
      </c>
      <c r="F96" s="46" t="s">
        <v>258</v>
      </c>
      <c r="G96" s="46" t="s">
        <v>259</v>
      </c>
      <c r="H96" s="46" t="s">
        <v>47</v>
      </c>
      <c r="I96" s="46" t="s">
        <v>257</v>
      </c>
      <c r="J96" s="4">
        <v>153</v>
      </c>
      <c r="K96" s="28">
        <v>40666</v>
      </c>
      <c r="L96" s="13" t="s">
        <v>21</v>
      </c>
      <c r="M96" s="46" t="s">
        <v>23</v>
      </c>
      <c r="N96" s="46" t="s">
        <v>16</v>
      </c>
      <c r="O96" s="48"/>
      <c r="P96" s="2"/>
    </row>
    <row r="97" spans="1:16" x14ac:dyDescent="0.25">
      <c r="A97" s="36" t="s">
        <v>263</v>
      </c>
      <c r="B97" s="47" t="s">
        <v>13</v>
      </c>
      <c r="C97" s="46" t="s">
        <v>0</v>
      </c>
      <c r="D97" s="46" t="s">
        <v>68</v>
      </c>
      <c r="E97" s="46" t="s">
        <v>15</v>
      </c>
      <c r="F97" s="46" t="s">
        <v>258</v>
      </c>
      <c r="G97" s="46" t="s">
        <v>264</v>
      </c>
      <c r="H97" s="46" t="s">
        <v>47</v>
      </c>
      <c r="I97" s="46" t="s">
        <v>265</v>
      </c>
      <c r="J97" s="4">
        <v>180</v>
      </c>
      <c r="K97" s="28">
        <v>40693</v>
      </c>
      <c r="L97" s="13" t="s">
        <v>21</v>
      </c>
      <c r="M97" s="46" t="s">
        <v>22</v>
      </c>
      <c r="N97" s="46" t="s">
        <v>16</v>
      </c>
      <c r="O97" s="48"/>
      <c r="P97" s="2"/>
    </row>
    <row r="98" spans="1:16" x14ac:dyDescent="0.25">
      <c r="A98" s="36" t="s">
        <v>263</v>
      </c>
      <c r="B98" s="47" t="s">
        <v>13</v>
      </c>
      <c r="C98" s="46" t="s">
        <v>0</v>
      </c>
      <c r="D98" s="46" t="s">
        <v>68</v>
      </c>
      <c r="E98" s="46" t="s">
        <v>15</v>
      </c>
      <c r="F98" s="46" t="s">
        <v>249</v>
      </c>
      <c r="G98" s="46" t="s">
        <v>266</v>
      </c>
      <c r="H98" s="46" t="s">
        <v>47</v>
      </c>
      <c r="I98" s="46" t="s">
        <v>265</v>
      </c>
      <c r="J98" s="4">
        <v>545</v>
      </c>
      <c r="K98" s="28">
        <v>41058</v>
      </c>
      <c r="L98" s="13" t="s">
        <v>21</v>
      </c>
      <c r="M98" s="46" t="s">
        <v>23</v>
      </c>
      <c r="N98" s="46" t="s">
        <v>16</v>
      </c>
      <c r="O98" s="48"/>
      <c r="P98" s="2"/>
    </row>
    <row r="99" spans="1:16" x14ac:dyDescent="0.25">
      <c r="A99" s="36" t="s">
        <v>213</v>
      </c>
      <c r="B99" s="47" t="s">
        <v>13</v>
      </c>
      <c r="C99" s="46" t="s">
        <v>139</v>
      </c>
      <c r="D99" s="46" t="s">
        <v>44</v>
      </c>
      <c r="E99" s="46" t="s">
        <v>15</v>
      </c>
      <c r="F99" s="46" t="s">
        <v>214</v>
      </c>
      <c r="G99" s="46" t="s">
        <v>215</v>
      </c>
      <c r="H99" s="46" t="s">
        <v>47</v>
      </c>
      <c r="I99" s="46" t="s">
        <v>216</v>
      </c>
      <c r="J99" s="4">
        <v>550</v>
      </c>
      <c r="K99" s="28">
        <v>41063</v>
      </c>
      <c r="L99" s="13" t="s">
        <v>21</v>
      </c>
      <c r="M99" s="46" t="s">
        <v>22</v>
      </c>
      <c r="N99" s="46" t="s">
        <v>16</v>
      </c>
      <c r="O99" s="48"/>
      <c r="P99" s="2"/>
    </row>
    <row r="100" spans="1:16" x14ac:dyDescent="0.25">
      <c r="A100" s="36" t="s">
        <v>213</v>
      </c>
      <c r="B100" s="47" t="s">
        <v>13</v>
      </c>
      <c r="C100" s="46" t="s">
        <v>139</v>
      </c>
      <c r="D100" s="46" t="s">
        <v>44</v>
      </c>
      <c r="E100" s="46" t="s">
        <v>15</v>
      </c>
      <c r="F100" s="46" t="s">
        <v>217</v>
      </c>
      <c r="G100" s="46" t="s">
        <v>218</v>
      </c>
      <c r="H100" s="46" t="s">
        <v>47</v>
      </c>
      <c r="I100" s="46" t="s">
        <v>216</v>
      </c>
      <c r="J100" s="4">
        <v>550</v>
      </c>
      <c r="K100" s="28">
        <v>41063</v>
      </c>
      <c r="L100" s="13" t="s">
        <v>21</v>
      </c>
      <c r="M100" s="46" t="s">
        <v>23</v>
      </c>
      <c r="N100" s="46" t="s">
        <v>16</v>
      </c>
      <c r="O100" s="48"/>
      <c r="P100" s="2"/>
    </row>
    <row r="101" spans="1:16" x14ac:dyDescent="0.25">
      <c r="A101" s="36" t="s">
        <v>43</v>
      </c>
      <c r="B101" s="47" t="s">
        <v>13</v>
      </c>
      <c r="C101" s="46" t="s">
        <v>0</v>
      </c>
      <c r="D101" s="46" t="s">
        <v>44</v>
      </c>
      <c r="E101" s="46" t="s">
        <v>15</v>
      </c>
      <c r="F101" s="46" t="s">
        <v>49</v>
      </c>
      <c r="G101" s="46" t="s">
        <v>50</v>
      </c>
      <c r="H101" s="46" t="s">
        <v>47</v>
      </c>
      <c r="I101" s="46" t="s">
        <v>48</v>
      </c>
      <c r="J101" s="4">
        <v>312</v>
      </c>
      <c r="K101" s="28">
        <v>40825</v>
      </c>
      <c r="L101" s="13" t="s">
        <v>21</v>
      </c>
      <c r="M101" s="46" t="s">
        <v>23</v>
      </c>
      <c r="N101" s="46" t="s">
        <v>16</v>
      </c>
      <c r="O101" s="48">
        <v>0</v>
      </c>
      <c r="P101" s="2"/>
    </row>
    <row r="102" spans="1:16" x14ac:dyDescent="0.25">
      <c r="A102" s="36" t="s">
        <v>43</v>
      </c>
      <c r="B102" s="47" t="s">
        <v>13</v>
      </c>
      <c r="C102" s="46" t="s">
        <v>0</v>
      </c>
      <c r="D102" s="46" t="s">
        <v>44</v>
      </c>
      <c r="E102" s="46" t="s">
        <v>15</v>
      </c>
      <c r="F102" s="46" t="s">
        <v>45</v>
      </c>
      <c r="G102" s="46" t="s">
        <v>46</v>
      </c>
      <c r="H102" s="46" t="s">
        <v>47</v>
      </c>
      <c r="I102" s="46" t="s">
        <v>48</v>
      </c>
      <c r="J102" s="4">
        <v>678</v>
      </c>
      <c r="K102" s="28">
        <v>41191</v>
      </c>
      <c r="L102" s="13" t="s">
        <v>21</v>
      </c>
      <c r="M102" s="46" t="s">
        <v>22</v>
      </c>
      <c r="N102" s="46" t="s">
        <v>16</v>
      </c>
      <c r="O102" s="48">
        <v>1E-3</v>
      </c>
      <c r="P102" s="2"/>
    </row>
    <row r="103" spans="1:16" x14ac:dyDescent="0.25">
      <c r="A103" s="36" t="s">
        <v>71</v>
      </c>
      <c r="B103" s="47" t="s">
        <v>13</v>
      </c>
      <c r="C103" s="46" t="s">
        <v>139</v>
      </c>
      <c r="D103" s="46" t="s">
        <v>44</v>
      </c>
      <c r="E103" s="46" t="s">
        <v>15</v>
      </c>
      <c r="F103" s="46" t="s">
        <v>72</v>
      </c>
      <c r="G103" s="46" t="s">
        <v>73</v>
      </c>
      <c r="H103" s="46" t="s">
        <v>47</v>
      </c>
      <c r="I103" s="46" t="s">
        <v>74</v>
      </c>
      <c r="J103" s="4">
        <v>17</v>
      </c>
      <c r="K103" s="28">
        <v>40530</v>
      </c>
      <c r="L103" s="13" t="s">
        <v>21</v>
      </c>
      <c r="M103" s="46" t="s">
        <v>54</v>
      </c>
      <c r="N103" s="46" t="s">
        <v>16</v>
      </c>
      <c r="O103" s="48">
        <v>1E-3</v>
      </c>
      <c r="P103" s="2"/>
    </row>
    <row r="104" spans="1:16" x14ac:dyDescent="0.25">
      <c r="A104" s="36" t="s">
        <v>342</v>
      </c>
      <c r="B104" s="47" t="s">
        <v>13</v>
      </c>
      <c r="C104" s="46" t="s">
        <v>139</v>
      </c>
      <c r="D104" s="46" t="s">
        <v>44</v>
      </c>
      <c r="E104" s="46" t="s">
        <v>15</v>
      </c>
      <c r="F104" s="46" t="s">
        <v>343</v>
      </c>
      <c r="G104" s="46" t="s">
        <v>344</v>
      </c>
      <c r="H104" s="46" t="s">
        <v>47</v>
      </c>
      <c r="I104" s="46" t="s">
        <v>345</v>
      </c>
      <c r="J104" s="4">
        <v>153</v>
      </c>
      <c r="K104" s="28">
        <v>40666</v>
      </c>
      <c r="L104" s="13" t="s">
        <v>21</v>
      </c>
      <c r="M104" s="46" t="s">
        <v>23</v>
      </c>
      <c r="N104" s="46" t="s">
        <v>16</v>
      </c>
      <c r="O104" s="48"/>
      <c r="P104" s="2"/>
    </row>
    <row r="105" spans="1:16" x14ac:dyDescent="0.25">
      <c r="A105" s="36" t="s">
        <v>187</v>
      </c>
      <c r="B105" s="47" t="s">
        <v>13</v>
      </c>
      <c r="C105" s="46" t="s">
        <v>366</v>
      </c>
      <c r="D105" s="46">
        <v>3</v>
      </c>
      <c r="E105" s="46" t="s">
        <v>63</v>
      </c>
      <c r="F105" s="46" t="s">
        <v>136</v>
      </c>
      <c r="G105" s="46" t="s">
        <v>189</v>
      </c>
      <c r="H105" s="46" t="s">
        <v>190</v>
      </c>
      <c r="I105" s="46" t="s">
        <v>191</v>
      </c>
      <c r="J105" s="4">
        <v>675</v>
      </c>
      <c r="K105" s="28">
        <v>41188</v>
      </c>
      <c r="L105" s="13" t="s">
        <v>21</v>
      </c>
      <c r="M105" s="46" t="s">
        <v>54</v>
      </c>
      <c r="N105" s="46" t="s">
        <v>662</v>
      </c>
      <c r="O105" s="48">
        <v>1E-3</v>
      </c>
      <c r="P105" s="2"/>
    </row>
    <row r="106" spans="1:16" x14ac:dyDescent="0.25">
      <c r="A106" s="36" t="s">
        <v>575</v>
      </c>
      <c r="B106" s="47" t="s">
        <v>17</v>
      </c>
      <c r="C106" s="46" t="s">
        <v>358</v>
      </c>
      <c r="D106" s="46" t="s">
        <v>44</v>
      </c>
      <c r="E106" s="46" t="s">
        <v>15</v>
      </c>
      <c r="F106" s="46" t="s">
        <v>365</v>
      </c>
      <c r="G106" s="46" t="s">
        <v>576</v>
      </c>
      <c r="H106" s="46" t="s">
        <v>47</v>
      </c>
      <c r="I106" s="46" t="s">
        <v>577</v>
      </c>
      <c r="J106" s="4">
        <v>884</v>
      </c>
      <c r="K106" s="28">
        <v>41397</v>
      </c>
      <c r="L106" s="13"/>
      <c r="M106" s="46" t="s">
        <v>24</v>
      </c>
      <c r="N106" s="46" t="s">
        <v>16</v>
      </c>
      <c r="O106" s="48">
        <v>1E-3</v>
      </c>
      <c r="P106" s="2">
        <v>0.05</v>
      </c>
    </row>
    <row r="107" spans="1:16" x14ac:dyDescent="0.25">
      <c r="A107" s="36" t="s">
        <v>575</v>
      </c>
      <c r="B107" s="47" t="s">
        <v>17</v>
      </c>
      <c r="C107" s="46" t="s">
        <v>374</v>
      </c>
      <c r="D107" s="46" t="s">
        <v>112</v>
      </c>
      <c r="E107" s="46" t="s">
        <v>15</v>
      </c>
      <c r="F107" s="46" t="s">
        <v>76</v>
      </c>
      <c r="G107" s="46" t="s">
        <v>578</v>
      </c>
      <c r="H107" s="46" t="s">
        <v>47</v>
      </c>
      <c r="I107" s="46" t="s">
        <v>577</v>
      </c>
      <c r="J107" s="4">
        <v>1112</v>
      </c>
      <c r="K107" s="28">
        <v>41625</v>
      </c>
      <c r="L107" s="13"/>
      <c r="M107" s="46" t="s">
        <v>54</v>
      </c>
      <c r="N107" s="46" t="s">
        <v>16</v>
      </c>
      <c r="O107" s="48">
        <v>1E-3</v>
      </c>
      <c r="P107" s="2">
        <v>0.05</v>
      </c>
    </row>
    <row r="108" spans="1:16" x14ac:dyDescent="0.25">
      <c r="A108" s="36" t="s">
        <v>575</v>
      </c>
      <c r="B108" s="47" t="s">
        <v>17</v>
      </c>
      <c r="C108" s="46" t="s">
        <v>358</v>
      </c>
      <c r="D108" s="46" t="s">
        <v>44</v>
      </c>
      <c r="E108" s="46" t="s">
        <v>15</v>
      </c>
      <c r="F108" s="46" t="s">
        <v>579</v>
      </c>
      <c r="G108" s="46" t="s">
        <v>580</v>
      </c>
      <c r="H108" s="46" t="s">
        <v>47</v>
      </c>
      <c r="I108" s="46" t="s">
        <v>577</v>
      </c>
      <c r="J108" s="4">
        <v>747</v>
      </c>
      <c r="K108" s="28">
        <v>41260</v>
      </c>
      <c r="L108" s="13"/>
      <c r="M108" s="46" t="s">
        <v>22</v>
      </c>
      <c r="N108" s="46" t="s">
        <v>16</v>
      </c>
      <c r="O108" s="48">
        <v>1E-3</v>
      </c>
      <c r="P108" s="2">
        <v>0.05</v>
      </c>
    </row>
    <row r="109" spans="1:16" x14ac:dyDescent="0.25">
      <c r="A109" s="36" t="s">
        <v>575</v>
      </c>
      <c r="B109" s="47" t="s">
        <v>17</v>
      </c>
      <c r="C109" s="46" t="s">
        <v>358</v>
      </c>
      <c r="D109" s="46" t="s">
        <v>44</v>
      </c>
      <c r="E109" s="46" t="s">
        <v>15</v>
      </c>
      <c r="F109" s="46" t="s">
        <v>357</v>
      </c>
      <c r="G109" s="46" t="s">
        <v>581</v>
      </c>
      <c r="H109" s="46" t="s">
        <v>47</v>
      </c>
      <c r="I109" s="46" t="s">
        <v>577</v>
      </c>
      <c r="J109" s="4">
        <v>16</v>
      </c>
      <c r="K109" s="28">
        <v>40529</v>
      </c>
      <c r="L109" s="13"/>
      <c r="M109" s="46" t="s">
        <v>23</v>
      </c>
      <c r="N109" s="46" t="s">
        <v>16</v>
      </c>
      <c r="O109" s="48">
        <v>1E-3</v>
      </c>
      <c r="P109" s="2">
        <v>0.05</v>
      </c>
    </row>
    <row r="110" spans="1:16" x14ac:dyDescent="0.25">
      <c r="A110" s="36" t="s">
        <v>575</v>
      </c>
      <c r="B110" s="47" t="s">
        <v>17</v>
      </c>
      <c r="C110" s="46" t="s">
        <v>358</v>
      </c>
      <c r="D110" s="46" t="s">
        <v>44</v>
      </c>
      <c r="E110" s="46" t="s">
        <v>15</v>
      </c>
      <c r="F110" s="46" t="s">
        <v>84</v>
      </c>
      <c r="G110" s="46" t="s">
        <v>582</v>
      </c>
      <c r="H110" s="46" t="s">
        <v>47</v>
      </c>
      <c r="I110" s="46" t="s">
        <v>577</v>
      </c>
      <c r="J110" s="4">
        <v>747</v>
      </c>
      <c r="K110" s="28">
        <v>41260</v>
      </c>
      <c r="L110" s="13"/>
      <c r="M110" s="46" t="s">
        <v>22</v>
      </c>
      <c r="N110" s="46" t="s">
        <v>16</v>
      </c>
      <c r="O110" s="48">
        <v>1E-3</v>
      </c>
      <c r="P110" s="2">
        <v>0.05</v>
      </c>
    </row>
    <row r="111" spans="1:16" x14ac:dyDescent="0.25">
      <c r="A111" s="36" t="s">
        <v>596</v>
      </c>
      <c r="B111" s="47" t="s">
        <v>17</v>
      </c>
      <c r="C111" s="46" t="s">
        <v>139</v>
      </c>
      <c r="D111" s="46" t="s">
        <v>68</v>
      </c>
      <c r="E111" s="46" t="s">
        <v>15</v>
      </c>
      <c r="F111" s="46" t="s">
        <v>136</v>
      </c>
      <c r="G111" s="46" t="s">
        <v>597</v>
      </c>
      <c r="H111" s="46" t="s">
        <v>47</v>
      </c>
      <c r="I111" s="46" t="s">
        <v>598</v>
      </c>
      <c r="J111" s="4">
        <v>792</v>
      </c>
      <c r="K111" s="28">
        <v>41305</v>
      </c>
      <c r="L111" s="13"/>
      <c r="M111" s="46" t="s">
        <v>23</v>
      </c>
      <c r="N111" s="46" t="s">
        <v>16</v>
      </c>
      <c r="O111" s="48">
        <v>1E-3</v>
      </c>
      <c r="P111" s="2">
        <v>0.05</v>
      </c>
    </row>
    <row r="112" spans="1:16" x14ac:dyDescent="0.25">
      <c r="A112" s="36" t="s">
        <v>596</v>
      </c>
      <c r="B112" s="47" t="s">
        <v>17</v>
      </c>
      <c r="C112" s="46" t="s">
        <v>139</v>
      </c>
      <c r="D112" s="46" t="s">
        <v>68</v>
      </c>
      <c r="E112" s="46" t="s">
        <v>15</v>
      </c>
      <c r="F112" s="46" t="s">
        <v>151</v>
      </c>
      <c r="G112" s="46" t="s">
        <v>599</v>
      </c>
      <c r="H112" s="46" t="s">
        <v>47</v>
      </c>
      <c r="I112" s="46" t="s">
        <v>598</v>
      </c>
      <c r="J112" s="4">
        <v>792</v>
      </c>
      <c r="K112" s="28">
        <v>41305</v>
      </c>
      <c r="M112" s="46" t="s">
        <v>22</v>
      </c>
      <c r="N112" s="46" t="s">
        <v>16</v>
      </c>
      <c r="O112" s="48">
        <v>1E-3</v>
      </c>
      <c r="P112" s="2">
        <v>0.05</v>
      </c>
    </row>
    <row r="113" spans="1:16" x14ac:dyDescent="0.25">
      <c r="A113" s="36" t="s">
        <v>490</v>
      </c>
      <c r="B113" s="47" t="s">
        <v>17</v>
      </c>
      <c r="C113" s="46" t="s">
        <v>0</v>
      </c>
      <c r="D113" s="46" t="s">
        <v>56</v>
      </c>
      <c r="E113" s="46" t="s">
        <v>15</v>
      </c>
      <c r="F113" s="46" t="s">
        <v>272</v>
      </c>
      <c r="G113" s="46" t="s">
        <v>491</v>
      </c>
      <c r="H113" s="46" t="s">
        <v>47</v>
      </c>
      <c r="I113" s="46" t="s">
        <v>492</v>
      </c>
      <c r="J113" s="4">
        <v>90</v>
      </c>
      <c r="K113" s="28">
        <v>40603</v>
      </c>
      <c r="M113" s="46" t="s">
        <v>24</v>
      </c>
      <c r="N113" s="46" t="s">
        <v>16</v>
      </c>
      <c r="O113" s="48">
        <v>1E-3</v>
      </c>
      <c r="P113" s="2">
        <v>0.05</v>
      </c>
    </row>
    <row r="114" spans="1:16" x14ac:dyDescent="0.25">
      <c r="A114" s="36" t="s">
        <v>490</v>
      </c>
      <c r="B114" s="47" t="s">
        <v>17</v>
      </c>
      <c r="C114" s="46" t="s">
        <v>0</v>
      </c>
      <c r="D114" s="46" t="s">
        <v>56</v>
      </c>
      <c r="E114" s="46" t="s">
        <v>15</v>
      </c>
      <c r="F114" s="46" t="s">
        <v>329</v>
      </c>
      <c r="G114" s="46" t="s">
        <v>493</v>
      </c>
      <c r="H114" s="46" t="s">
        <v>47</v>
      </c>
      <c r="I114" s="46" t="s">
        <v>492</v>
      </c>
      <c r="J114" s="4">
        <v>457</v>
      </c>
      <c r="K114" s="28">
        <v>40970</v>
      </c>
      <c r="M114" s="46" t="s">
        <v>54</v>
      </c>
      <c r="N114" s="46" t="s">
        <v>16</v>
      </c>
      <c r="O114" s="48">
        <v>1E-3</v>
      </c>
      <c r="P114" s="2">
        <v>0.05</v>
      </c>
    </row>
    <row r="115" spans="1:16" x14ac:dyDescent="0.25">
      <c r="A115" s="36" t="s">
        <v>170</v>
      </c>
      <c r="B115" s="47" t="s">
        <v>13</v>
      </c>
      <c r="C115" s="46" t="s">
        <v>139</v>
      </c>
      <c r="D115" s="46" t="s">
        <v>68</v>
      </c>
      <c r="E115" s="46" t="s">
        <v>15</v>
      </c>
      <c r="F115" s="46" t="s">
        <v>49</v>
      </c>
      <c r="G115" s="46" t="s">
        <v>171</v>
      </c>
      <c r="H115" s="46" t="s">
        <v>47</v>
      </c>
      <c r="I115" s="46" t="s">
        <v>172</v>
      </c>
      <c r="J115" s="4">
        <v>443</v>
      </c>
      <c r="K115" s="28">
        <v>40956</v>
      </c>
      <c r="L115" s="36" t="s">
        <v>21</v>
      </c>
      <c r="M115" s="46" t="s">
        <v>23</v>
      </c>
      <c r="N115" s="46" t="s">
        <v>16</v>
      </c>
      <c r="O115" s="48">
        <v>1E-3</v>
      </c>
      <c r="P115" s="2"/>
    </row>
    <row r="116" spans="1:16" x14ac:dyDescent="0.25">
      <c r="A116" s="36" t="s">
        <v>170</v>
      </c>
      <c r="B116" s="47" t="s">
        <v>13</v>
      </c>
      <c r="C116" s="46" t="s">
        <v>139</v>
      </c>
      <c r="D116" s="46" t="s">
        <v>68</v>
      </c>
      <c r="E116" s="46" t="s">
        <v>15</v>
      </c>
      <c r="F116" s="46" t="s">
        <v>173</v>
      </c>
      <c r="G116" s="46" t="s">
        <v>174</v>
      </c>
      <c r="H116" s="46" t="s">
        <v>47</v>
      </c>
      <c r="I116" s="46" t="s">
        <v>172</v>
      </c>
      <c r="J116" s="4">
        <v>884</v>
      </c>
      <c r="K116" s="28">
        <v>41397</v>
      </c>
      <c r="L116" s="36" t="s">
        <v>21</v>
      </c>
      <c r="M116" s="46" t="s">
        <v>24</v>
      </c>
      <c r="N116" s="46" t="s">
        <v>16</v>
      </c>
      <c r="O116" s="48">
        <v>1E-3</v>
      </c>
      <c r="P116" s="2"/>
    </row>
    <row r="117" spans="1:16" x14ac:dyDescent="0.25">
      <c r="A117" s="36" t="s">
        <v>155</v>
      </c>
      <c r="B117" s="47" t="s">
        <v>13</v>
      </c>
      <c r="C117" s="46" t="s">
        <v>139</v>
      </c>
      <c r="D117" s="46" t="s">
        <v>56</v>
      </c>
      <c r="E117" s="46" t="s">
        <v>63</v>
      </c>
      <c r="F117" s="46" t="s">
        <v>156</v>
      </c>
      <c r="G117" s="46" t="s">
        <v>157</v>
      </c>
      <c r="H117" s="46" t="s">
        <v>158</v>
      </c>
      <c r="I117" s="46" t="s">
        <v>159</v>
      </c>
      <c r="J117" s="4">
        <v>569</v>
      </c>
      <c r="K117" s="28">
        <v>41082</v>
      </c>
      <c r="L117" s="36" t="s">
        <v>21</v>
      </c>
      <c r="M117" s="46" t="s">
        <v>22</v>
      </c>
      <c r="N117" s="46" t="s">
        <v>662</v>
      </c>
      <c r="O117" s="48">
        <v>1E-3</v>
      </c>
      <c r="P117" s="2"/>
    </row>
    <row r="118" spans="1:16" x14ac:dyDescent="0.25">
      <c r="A118" s="36" t="s">
        <v>155</v>
      </c>
      <c r="B118" s="47" t="s">
        <v>13</v>
      </c>
      <c r="C118" s="46" t="s">
        <v>139</v>
      </c>
      <c r="D118" s="46" t="s">
        <v>56</v>
      </c>
      <c r="E118" s="46" t="s">
        <v>63</v>
      </c>
      <c r="F118" s="46" t="s">
        <v>49</v>
      </c>
      <c r="G118" s="46" t="s">
        <v>160</v>
      </c>
      <c r="H118" s="46" t="s">
        <v>158</v>
      </c>
      <c r="I118" s="46" t="s">
        <v>159</v>
      </c>
      <c r="J118" s="4">
        <v>1</v>
      </c>
      <c r="K118" s="28">
        <v>40514</v>
      </c>
      <c r="L118" s="36" t="s">
        <v>21</v>
      </c>
      <c r="M118" s="46" t="s">
        <v>23</v>
      </c>
      <c r="N118" s="46" t="s">
        <v>662</v>
      </c>
      <c r="O118" s="48">
        <v>1E-3</v>
      </c>
      <c r="P118" s="2"/>
    </row>
    <row r="119" spans="1:16" x14ac:dyDescent="0.25">
      <c r="A119" s="36" t="s">
        <v>187</v>
      </c>
      <c r="B119" s="47" t="s">
        <v>13</v>
      </c>
      <c r="C119" s="46" t="s">
        <v>366</v>
      </c>
      <c r="D119" s="46">
        <v>3</v>
      </c>
      <c r="E119" s="46" t="s">
        <v>63</v>
      </c>
      <c r="F119" s="46" t="s">
        <v>45</v>
      </c>
      <c r="G119" s="46" t="s">
        <v>192</v>
      </c>
      <c r="H119" s="46" t="s">
        <v>190</v>
      </c>
      <c r="I119" s="46" t="s">
        <v>191</v>
      </c>
      <c r="J119" s="4">
        <v>675</v>
      </c>
      <c r="K119" s="28">
        <v>41188</v>
      </c>
      <c r="L119" s="52" t="s">
        <v>21</v>
      </c>
      <c r="M119" s="46" t="s">
        <v>23</v>
      </c>
      <c r="N119" s="46" t="s">
        <v>662</v>
      </c>
      <c r="O119" s="48">
        <v>1E-3</v>
      </c>
      <c r="P119" s="2"/>
    </row>
    <row r="120" spans="1:16" x14ac:dyDescent="0.25">
      <c r="A120" s="36" t="s">
        <v>324</v>
      </c>
      <c r="B120" s="47" t="s">
        <v>13</v>
      </c>
      <c r="C120" s="46" t="s">
        <v>366</v>
      </c>
      <c r="D120" s="46" t="s">
        <v>68</v>
      </c>
      <c r="E120" s="46" t="s">
        <v>15</v>
      </c>
      <c r="F120" s="46" t="s">
        <v>325</v>
      </c>
      <c r="G120" s="56" t="s">
        <v>326</v>
      </c>
      <c r="H120" s="46" t="s">
        <v>47</v>
      </c>
      <c r="I120" s="46" t="s">
        <v>327</v>
      </c>
      <c r="J120" s="4">
        <v>749</v>
      </c>
      <c r="K120" s="28">
        <v>41262</v>
      </c>
      <c r="L120" s="52" t="s">
        <v>21</v>
      </c>
      <c r="M120" s="46" t="s">
        <v>23</v>
      </c>
      <c r="N120" s="46" t="s">
        <v>16</v>
      </c>
      <c r="O120" s="48"/>
      <c r="P120" s="2"/>
    </row>
    <row r="121" spans="1:16" x14ac:dyDescent="0.25">
      <c r="A121" s="36" t="s">
        <v>319</v>
      </c>
      <c r="B121" s="47" t="s">
        <v>13</v>
      </c>
      <c r="C121" s="46" t="s">
        <v>139</v>
      </c>
      <c r="D121" s="46" t="s">
        <v>68</v>
      </c>
      <c r="E121" s="46" t="s">
        <v>15</v>
      </c>
      <c r="F121" s="46" t="s">
        <v>136</v>
      </c>
      <c r="G121" s="46" t="s">
        <v>320</v>
      </c>
      <c r="H121" s="46" t="s">
        <v>47</v>
      </c>
      <c r="I121" s="46" t="s">
        <v>321</v>
      </c>
      <c r="J121" s="4">
        <v>884</v>
      </c>
      <c r="K121" s="28">
        <v>41397</v>
      </c>
      <c r="L121" s="36" t="s">
        <v>21</v>
      </c>
      <c r="M121" s="46" t="s">
        <v>23</v>
      </c>
      <c r="N121" s="46" t="s">
        <v>16</v>
      </c>
      <c r="O121" s="48"/>
      <c r="P121" s="2"/>
    </row>
    <row r="122" spans="1:16" x14ac:dyDescent="0.25">
      <c r="A122" s="36" t="s">
        <v>319</v>
      </c>
      <c r="B122" s="47" t="s">
        <v>13</v>
      </c>
      <c r="C122" s="46" t="s">
        <v>139</v>
      </c>
      <c r="D122" s="46" t="s">
        <v>68</v>
      </c>
      <c r="E122" s="46" t="s">
        <v>15</v>
      </c>
      <c r="F122" s="46" t="s">
        <v>322</v>
      </c>
      <c r="G122" s="46" t="s">
        <v>323</v>
      </c>
      <c r="H122" s="46" t="s">
        <v>47</v>
      </c>
      <c r="I122" s="46" t="s">
        <v>321</v>
      </c>
      <c r="J122" s="4">
        <v>1249</v>
      </c>
      <c r="K122" s="28">
        <v>41762</v>
      </c>
      <c r="L122" s="36" t="s">
        <v>21</v>
      </c>
      <c r="M122" s="46" t="s">
        <v>22</v>
      </c>
      <c r="N122" s="46" t="s">
        <v>16</v>
      </c>
      <c r="O122" s="48"/>
      <c r="P122" s="2"/>
    </row>
    <row r="123" spans="1:16" x14ac:dyDescent="0.25">
      <c r="A123" s="36" t="s">
        <v>354</v>
      </c>
      <c r="B123" s="47" t="s">
        <v>13</v>
      </c>
      <c r="C123" s="46" t="s">
        <v>358</v>
      </c>
      <c r="D123" s="46" t="s">
        <v>44</v>
      </c>
      <c r="E123" s="46" t="s">
        <v>15</v>
      </c>
      <c r="F123" s="46" t="s">
        <v>261</v>
      </c>
      <c r="G123" s="46" t="s">
        <v>355</v>
      </c>
      <c r="H123" s="46" t="s">
        <v>47</v>
      </c>
      <c r="I123" s="46" t="s">
        <v>356</v>
      </c>
      <c r="J123" s="4">
        <v>1249</v>
      </c>
      <c r="K123" s="28">
        <v>41762</v>
      </c>
      <c r="L123" s="36" t="s">
        <v>21</v>
      </c>
      <c r="M123" s="46" t="s">
        <v>23</v>
      </c>
      <c r="N123" s="46" t="s">
        <v>16</v>
      </c>
      <c r="O123" s="48"/>
      <c r="P123" s="2"/>
    </row>
    <row r="124" spans="1:16" x14ac:dyDescent="0.25">
      <c r="A124" s="36" t="s">
        <v>204</v>
      </c>
      <c r="B124" s="47" t="s">
        <v>13</v>
      </c>
      <c r="C124" s="46" t="s">
        <v>139</v>
      </c>
      <c r="D124" s="46" t="s">
        <v>56</v>
      </c>
      <c r="E124" s="46" t="s">
        <v>15</v>
      </c>
      <c r="F124" s="46" t="s">
        <v>49</v>
      </c>
      <c r="G124" s="46" t="s">
        <v>205</v>
      </c>
      <c r="H124" s="46" t="s">
        <v>206</v>
      </c>
      <c r="I124" s="46" t="s">
        <v>207</v>
      </c>
      <c r="J124" s="4">
        <v>5642</v>
      </c>
      <c r="K124" s="28">
        <v>46155</v>
      </c>
      <c r="L124" s="36" t="s">
        <v>21</v>
      </c>
      <c r="M124" s="46" t="s">
        <v>23</v>
      </c>
      <c r="N124" s="46" t="s">
        <v>16</v>
      </c>
      <c r="O124" s="48"/>
      <c r="P124" s="2"/>
    </row>
    <row r="125" spans="1:16" x14ac:dyDescent="0.25">
      <c r="A125" s="36" t="s">
        <v>204</v>
      </c>
      <c r="B125" s="47" t="s">
        <v>13</v>
      </c>
      <c r="C125" s="46" t="s">
        <v>139</v>
      </c>
      <c r="D125" s="46" t="s">
        <v>56</v>
      </c>
      <c r="E125" s="46" t="s">
        <v>15</v>
      </c>
      <c r="F125" s="46" t="s">
        <v>49</v>
      </c>
      <c r="G125" s="46" t="s">
        <v>686</v>
      </c>
      <c r="H125" s="46" t="s">
        <v>206</v>
      </c>
      <c r="I125" s="46" t="s">
        <v>207</v>
      </c>
      <c r="J125" s="4">
        <v>5642</v>
      </c>
      <c r="K125" s="28">
        <v>46155</v>
      </c>
      <c r="L125" s="36" t="s">
        <v>21</v>
      </c>
      <c r="M125" s="46" t="s">
        <v>24</v>
      </c>
      <c r="N125" s="46" t="s">
        <v>16</v>
      </c>
      <c r="O125" s="48"/>
      <c r="P125" s="2"/>
    </row>
    <row r="126" spans="1:16" x14ac:dyDescent="0.25">
      <c r="A126" s="36" t="s">
        <v>636</v>
      </c>
      <c r="B126" s="47" t="s">
        <v>17</v>
      </c>
      <c r="C126" s="46" t="s">
        <v>0</v>
      </c>
      <c r="D126" s="46" t="s">
        <v>56</v>
      </c>
      <c r="E126" s="46" t="s">
        <v>15</v>
      </c>
      <c r="F126" s="46" t="s">
        <v>118</v>
      </c>
      <c r="G126" s="46" t="s">
        <v>637</v>
      </c>
      <c r="H126" s="46" t="s">
        <v>47</v>
      </c>
      <c r="I126" s="46" t="s">
        <v>638</v>
      </c>
      <c r="J126" s="4">
        <v>609</v>
      </c>
      <c r="K126" s="28">
        <v>41122</v>
      </c>
      <c r="M126" s="46" t="s">
        <v>22</v>
      </c>
      <c r="N126" s="46" t="s">
        <v>16</v>
      </c>
      <c r="O126" s="48"/>
      <c r="P126" s="2">
        <v>0.03</v>
      </c>
    </row>
    <row r="127" spans="1:16" x14ac:dyDescent="0.25">
      <c r="A127" s="36" t="s">
        <v>636</v>
      </c>
      <c r="B127" s="47" t="s">
        <v>17</v>
      </c>
      <c r="C127" s="46" t="s">
        <v>0</v>
      </c>
      <c r="D127" s="46" t="s">
        <v>56</v>
      </c>
      <c r="E127" s="46" t="s">
        <v>15</v>
      </c>
      <c r="F127" s="46" t="s">
        <v>101</v>
      </c>
      <c r="G127" s="46" t="s">
        <v>639</v>
      </c>
      <c r="H127" s="46" t="s">
        <v>47</v>
      </c>
      <c r="I127" s="46" t="s">
        <v>638</v>
      </c>
      <c r="J127" s="4">
        <v>609</v>
      </c>
      <c r="K127" s="28">
        <v>41122</v>
      </c>
      <c r="M127" s="46" t="s">
        <v>23</v>
      </c>
      <c r="N127" s="46" t="s">
        <v>16</v>
      </c>
      <c r="O127" s="48"/>
      <c r="P127" s="2">
        <v>0.03</v>
      </c>
    </row>
    <row r="128" spans="1:16" x14ac:dyDescent="0.25">
      <c r="A128" s="36" t="s">
        <v>636</v>
      </c>
      <c r="B128" s="47" t="s">
        <v>17</v>
      </c>
      <c r="C128" s="46" t="s">
        <v>0</v>
      </c>
      <c r="D128" s="46" t="s">
        <v>56</v>
      </c>
      <c r="E128" s="46" t="s">
        <v>15</v>
      </c>
      <c r="F128" s="46" t="s">
        <v>101</v>
      </c>
      <c r="G128" s="46" t="s">
        <v>687</v>
      </c>
      <c r="H128" s="46" t="s">
        <v>47</v>
      </c>
      <c r="I128" s="46" t="s">
        <v>638</v>
      </c>
      <c r="J128" s="4">
        <v>609</v>
      </c>
      <c r="K128" s="28">
        <v>41122</v>
      </c>
      <c r="M128" s="46" t="s">
        <v>22</v>
      </c>
      <c r="N128" s="46" t="s">
        <v>16</v>
      </c>
      <c r="O128" s="48"/>
      <c r="P128" s="2">
        <v>0.03</v>
      </c>
    </row>
    <row r="129" spans="1:16" x14ac:dyDescent="0.25">
      <c r="A129" s="36" t="s">
        <v>444</v>
      </c>
      <c r="B129" s="47" t="s">
        <v>17</v>
      </c>
      <c r="C129" s="46" t="s">
        <v>0</v>
      </c>
      <c r="D129" s="46" t="s">
        <v>44</v>
      </c>
      <c r="E129" s="46" t="s">
        <v>15</v>
      </c>
      <c r="F129" s="46" t="s">
        <v>198</v>
      </c>
      <c r="G129" s="46" t="s">
        <v>445</v>
      </c>
      <c r="H129" s="46" t="s">
        <v>47</v>
      </c>
      <c r="I129" s="46" t="s">
        <v>446</v>
      </c>
      <c r="J129" s="4">
        <v>243</v>
      </c>
      <c r="K129" s="28">
        <v>40756</v>
      </c>
      <c r="M129" s="46" t="s">
        <v>24</v>
      </c>
      <c r="N129" s="46" t="s">
        <v>16</v>
      </c>
      <c r="O129" s="48">
        <v>1E-3</v>
      </c>
      <c r="P129" s="2">
        <v>0.05</v>
      </c>
    </row>
    <row r="130" spans="1:16" x14ac:dyDescent="0.25">
      <c r="A130" s="36" t="s">
        <v>444</v>
      </c>
      <c r="B130" s="47" t="s">
        <v>17</v>
      </c>
      <c r="C130" s="46" t="s">
        <v>0</v>
      </c>
      <c r="D130" s="46" t="s">
        <v>44</v>
      </c>
      <c r="E130" s="46" t="s">
        <v>15</v>
      </c>
      <c r="F130" s="46" t="s">
        <v>375</v>
      </c>
      <c r="G130" s="46" t="s">
        <v>447</v>
      </c>
      <c r="H130" s="46" t="s">
        <v>47</v>
      </c>
      <c r="I130" s="46" t="s">
        <v>446</v>
      </c>
      <c r="J130" s="4">
        <v>609</v>
      </c>
      <c r="K130" s="28">
        <v>41122</v>
      </c>
      <c r="M130" s="46" t="s">
        <v>54</v>
      </c>
      <c r="N130" s="46" t="s">
        <v>16</v>
      </c>
      <c r="O130" s="48">
        <v>1E-3</v>
      </c>
      <c r="P130" s="2">
        <v>0.05</v>
      </c>
    </row>
    <row r="131" spans="1:16" x14ac:dyDescent="0.25">
      <c r="A131" s="36" t="s">
        <v>444</v>
      </c>
      <c r="B131" s="47" t="s">
        <v>17</v>
      </c>
      <c r="C131" s="46" t="s">
        <v>358</v>
      </c>
      <c r="D131" s="46" t="s">
        <v>112</v>
      </c>
      <c r="E131" s="46" t="s">
        <v>15</v>
      </c>
      <c r="F131" s="46" t="s">
        <v>373</v>
      </c>
      <c r="G131" s="46" t="s">
        <v>448</v>
      </c>
      <c r="H131" s="46" t="s">
        <v>47</v>
      </c>
      <c r="I131" s="46" t="s">
        <v>446</v>
      </c>
      <c r="J131" s="4">
        <v>334</v>
      </c>
      <c r="K131" s="28">
        <v>40847</v>
      </c>
      <c r="M131" s="46" t="s">
        <v>22</v>
      </c>
      <c r="N131" s="46" t="s">
        <v>16</v>
      </c>
      <c r="O131" s="48">
        <v>1E-3</v>
      </c>
      <c r="P131" s="2">
        <v>0.05</v>
      </c>
    </row>
    <row r="132" spans="1:16" x14ac:dyDescent="0.25">
      <c r="A132" s="36" t="s">
        <v>182</v>
      </c>
      <c r="B132" s="47" t="s">
        <v>13</v>
      </c>
      <c r="C132" s="46" t="s">
        <v>139</v>
      </c>
      <c r="D132" s="46" t="s">
        <v>44</v>
      </c>
      <c r="E132" s="46" t="s">
        <v>15</v>
      </c>
      <c r="F132" s="46" t="s">
        <v>121</v>
      </c>
      <c r="G132" s="46" t="s">
        <v>183</v>
      </c>
      <c r="H132" s="46" t="s">
        <v>47</v>
      </c>
      <c r="I132" s="46" t="s">
        <v>184</v>
      </c>
      <c r="J132" s="4">
        <v>518</v>
      </c>
      <c r="K132" s="28">
        <v>41031</v>
      </c>
      <c r="L132" s="36" t="s">
        <v>21</v>
      </c>
      <c r="M132" s="46" t="s">
        <v>23</v>
      </c>
      <c r="N132" s="46" t="s">
        <v>16</v>
      </c>
      <c r="O132" s="48">
        <v>1E-3</v>
      </c>
      <c r="P132" s="2"/>
    </row>
    <row r="133" spans="1:16" x14ac:dyDescent="0.25">
      <c r="A133" s="36" t="s">
        <v>182</v>
      </c>
      <c r="B133" s="47" t="s">
        <v>13</v>
      </c>
      <c r="C133" s="46" t="s">
        <v>139</v>
      </c>
      <c r="D133" s="46" t="s">
        <v>44</v>
      </c>
      <c r="E133" s="46" t="s">
        <v>15</v>
      </c>
      <c r="F133" s="46" t="s">
        <v>185</v>
      </c>
      <c r="G133" s="46" t="s">
        <v>186</v>
      </c>
      <c r="H133" s="46" t="s">
        <v>47</v>
      </c>
      <c r="I133" s="46" t="s">
        <v>184</v>
      </c>
      <c r="J133" s="4">
        <v>1002</v>
      </c>
      <c r="K133" s="28">
        <v>41515</v>
      </c>
      <c r="L133" s="36" t="s">
        <v>21</v>
      </c>
      <c r="M133" s="46" t="s">
        <v>24</v>
      </c>
      <c r="N133" s="46" t="s">
        <v>16</v>
      </c>
      <c r="O133" s="48">
        <v>1E-3</v>
      </c>
      <c r="P133" s="2"/>
    </row>
    <row r="134" spans="1:16" x14ac:dyDescent="0.25">
      <c r="A134" s="36" t="s">
        <v>350</v>
      </c>
      <c r="B134" s="47" t="s">
        <v>13</v>
      </c>
      <c r="C134" s="46" t="s">
        <v>139</v>
      </c>
      <c r="D134" s="46" t="s">
        <v>44</v>
      </c>
      <c r="E134" s="46" t="s">
        <v>15</v>
      </c>
      <c r="F134" s="46" t="s">
        <v>167</v>
      </c>
      <c r="G134" s="46" t="s">
        <v>351</v>
      </c>
      <c r="H134" s="46" t="s">
        <v>47</v>
      </c>
      <c r="I134" s="46" t="s">
        <v>352</v>
      </c>
      <c r="J134" s="4">
        <v>518</v>
      </c>
      <c r="K134" s="28">
        <v>41031</v>
      </c>
      <c r="L134" s="36" t="s">
        <v>21</v>
      </c>
      <c r="M134" s="46" t="s">
        <v>23</v>
      </c>
      <c r="N134" s="46" t="s">
        <v>16</v>
      </c>
      <c r="O134" s="48"/>
      <c r="P134" s="2"/>
    </row>
    <row r="135" spans="1:16" x14ac:dyDescent="0.25">
      <c r="A135" s="36" t="s">
        <v>350</v>
      </c>
      <c r="B135" s="47" t="s">
        <v>13</v>
      </c>
      <c r="C135" s="46" t="s">
        <v>139</v>
      </c>
      <c r="D135" s="46" t="s">
        <v>44</v>
      </c>
      <c r="E135" s="46" t="s">
        <v>15</v>
      </c>
      <c r="F135" s="46" t="s">
        <v>49</v>
      </c>
      <c r="G135" s="46" t="s">
        <v>353</v>
      </c>
      <c r="H135" s="46" t="s">
        <v>47</v>
      </c>
      <c r="I135" s="46" t="s">
        <v>352</v>
      </c>
      <c r="J135" s="4">
        <v>1249</v>
      </c>
      <c r="K135" s="28">
        <v>41762</v>
      </c>
      <c r="L135" s="36" t="s">
        <v>21</v>
      </c>
      <c r="M135" s="46" t="s">
        <v>22</v>
      </c>
      <c r="N135" s="46" t="s">
        <v>16</v>
      </c>
      <c r="O135" s="48"/>
      <c r="P135" s="2"/>
    </row>
    <row r="136" spans="1:16" x14ac:dyDescent="0.25">
      <c r="A136" s="36" t="s">
        <v>86</v>
      </c>
      <c r="B136" s="47" t="s">
        <v>17</v>
      </c>
      <c r="C136" s="46" t="s">
        <v>0</v>
      </c>
      <c r="D136" s="46" t="s">
        <v>44</v>
      </c>
      <c r="E136" s="46" t="s">
        <v>15</v>
      </c>
      <c r="F136" s="46" t="s">
        <v>84</v>
      </c>
      <c r="G136" s="46" t="s">
        <v>87</v>
      </c>
      <c r="H136" s="46" t="s">
        <v>47</v>
      </c>
      <c r="I136" s="46" t="s">
        <v>88</v>
      </c>
      <c r="J136" s="4">
        <v>275</v>
      </c>
      <c r="K136" s="28">
        <v>40788</v>
      </c>
      <c r="M136" s="46" t="s">
        <v>24</v>
      </c>
      <c r="N136" s="46" t="s">
        <v>16</v>
      </c>
      <c r="O136" s="48">
        <v>1E-3</v>
      </c>
      <c r="P136" s="2">
        <v>0.05</v>
      </c>
    </row>
    <row r="137" spans="1:16" x14ac:dyDescent="0.25">
      <c r="A137" s="36" t="s">
        <v>86</v>
      </c>
      <c r="B137" s="47" t="s">
        <v>17</v>
      </c>
      <c r="C137" s="46" t="s">
        <v>0</v>
      </c>
      <c r="D137" s="46" t="s">
        <v>44</v>
      </c>
      <c r="E137" s="46" t="s">
        <v>15</v>
      </c>
      <c r="F137" s="46" t="s">
        <v>89</v>
      </c>
      <c r="G137" s="46" t="s">
        <v>90</v>
      </c>
      <c r="H137" s="46" t="s">
        <v>47</v>
      </c>
      <c r="I137" s="46" t="s">
        <v>88</v>
      </c>
      <c r="J137" s="4">
        <v>1006</v>
      </c>
      <c r="K137" s="28">
        <v>41519</v>
      </c>
      <c r="M137" s="46" t="s">
        <v>54</v>
      </c>
      <c r="N137" s="46" t="s">
        <v>16</v>
      </c>
      <c r="O137" s="48">
        <v>0</v>
      </c>
      <c r="P137" s="2">
        <v>0.05</v>
      </c>
    </row>
    <row r="138" spans="1:16" x14ac:dyDescent="0.25">
      <c r="A138" s="36" t="s">
        <v>324</v>
      </c>
      <c r="B138" s="47" t="s">
        <v>13</v>
      </c>
      <c r="C138" s="46" t="s">
        <v>366</v>
      </c>
      <c r="D138" s="46" t="s">
        <v>68</v>
      </c>
      <c r="E138" s="46" t="s">
        <v>15</v>
      </c>
      <c r="F138" s="46" t="s">
        <v>328</v>
      </c>
      <c r="G138" s="57" t="s">
        <v>693</v>
      </c>
      <c r="H138" s="46" t="s">
        <v>47</v>
      </c>
      <c r="I138" s="46" t="s">
        <v>327</v>
      </c>
      <c r="J138" s="4">
        <v>749</v>
      </c>
      <c r="K138" s="28">
        <v>41262</v>
      </c>
      <c r="L138" s="52" t="s">
        <v>21</v>
      </c>
      <c r="M138" s="46" t="s">
        <v>24</v>
      </c>
      <c r="N138" s="46" t="s">
        <v>16</v>
      </c>
      <c r="O138" s="48"/>
      <c r="P138" s="2"/>
    </row>
    <row r="139" spans="1:16" x14ac:dyDescent="0.25">
      <c r="A139" s="36" t="s">
        <v>241</v>
      </c>
      <c r="B139" s="47" t="s">
        <v>13</v>
      </c>
      <c r="C139" s="46" t="s">
        <v>366</v>
      </c>
      <c r="D139" s="46" t="s">
        <v>56</v>
      </c>
      <c r="E139" s="46" t="s">
        <v>15</v>
      </c>
      <c r="F139" s="46" t="s">
        <v>246</v>
      </c>
      <c r="G139" s="46" t="s">
        <v>247</v>
      </c>
      <c r="H139" s="46" t="s">
        <v>47</v>
      </c>
      <c r="I139" s="46" t="s">
        <v>243</v>
      </c>
      <c r="J139" s="4">
        <v>792</v>
      </c>
      <c r="K139" s="28">
        <v>41305</v>
      </c>
      <c r="L139" s="52" t="s">
        <v>21</v>
      </c>
      <c r="M139" s="46" t="s">
        <v>54</v>
      </c>
      <c r="N139" s="46" t="s">
        <v>16</v>
      </c>
      <c r="O139" s="48"/>
      <c r="P139" s="2"/>
    </row>
    <row r="140" spans="1:16" x14ac:dyDescent="0.25">
      <c r="A140" s="36" t="s">
        <v>406</v>
      </c>
      <c r="B140" s="47" t="s">
        <v>17</v>
      </c>
      <c r="C140" s="46" t="s">
        <v>188</v>
      </c>
      <c r="D140" s="46" t="s">
        <v>68</v>
      </c>
      <c r="E140" s="46" t="s">
        <v>15</v>
      </c>
      <c r="F140" s="46" t="s">
        <v>379</v>
      </c>
      <c r="G140" s="46" t="s">
        <v>407</v>
      </c>
      <c r="H140" s="46" t="s">
        <v>47</v>
      </c>
      <c r="I140" s="46" t="s">
        <v>408</v>
      </c>
      <c r="J140" s="4">
        <v>1019</v>
      </c>
      <c r="K140" s="28">
        <v>41532</v>
      </c>
      <c r="M140" s="46" t="s">
        <v>54</v>
      </c>
      <c r="N140" s="46" t="s">
        <v>16</v>
      </c>
      <c r="O140" s="48">
        <v>1E-3</v>
      </c>
      <c r="P140" s="2">
        <v>0.05</v>
      </c>
    </row>
    <row r="141" spans="1:16" x14ac:dyDescent="0.25">
      <c r="A141" s="36" t="s">
        <v>465</v>
      </c>
      <c r="B141" s="47" t="s">
        <v>17</v>
      </c>
      <c r="C141" s="46" t="s">
        <v>139</v>
      </c>
      <c r="D141" s="46" t="s">
        <v>68</v>
      </c>
      <c r="E141" s="46" t="s">
        <v>15</v>
      </c>
      <c r="F141" s="46" t="s">
        <v>386</v>
      </c>
      <c r="G141" s="46" t="s">
        <v>468</v>
      </c>
      <c r="H141" s="46" t="s">
        <v>47</v>
      </c>
      <c r="I141" s="46" t="s">
        <v>467</v>
      </c>
      <c r="J141" s="4">
        <v>1002</v>
      </c>
      <c r="K141" s="28">
        <v>41515</v>
      </c>
      <c r="M141" s="46" t="s">
        <v>24</v>
      </c>
      <c r="N141" s="46" t="s">
        <v>16</v>
      </c>
      <c r="O141" s="48">
        <v>1E-3</v>
      </c>
      <c r="P141" s="2">
        <v>0.05</v>
      </c>
    </row>
    <row r="142" spans="1:16" x14ac:dyDescent="0.25">
      <c r="A142" s="36" t="s">
        <v>465</v>
      </c>
      <c r="B142" s="47" t="s">
        <v>17</v>
      </c>
      <c r="C142" s="46" t="s">
        <v>139</v>
      </c>
      <c r="D142" s="46" t="s">
        <v>68</v>
      </c>
      <c r="E142" s="46" t="s">
        <v>15</v>
      </c>
      <c r="F142" s="46" t="s">
        <v>153</v>
      </c>
      <c r="G142" s="46" t="s">
        <v>469</v>
      </c>
      <c r="H142" s="46" t="s">
        <v>47</v>
      </c>
      <c r="I142" s="46" t="s">
        <v>467</v>
      </c>
      <c r="J142" s="4">
        <v>518</v>
      </c>
      <c r="K142" s="28">
        <v>41031</v>
      </c>
      <c r="M142" s="46" t="s">
        <v>54</v>
      </c>
      <c r="N142" s="46" t="s">
        <v>16</v>
      </c>
      <c r="O142" s="48">
        <v>1E-3</v>
      </c>
      <c r="P142" s="2">
        <v>0.05</v>
      </c>
    </row>
    <row r="143" spans="1:16" x14ac:dyDescent="0.25">
      <c r="A143" s="36" t="s">
        <v>553</v>
      </c>
      <c r="B143" s="47" t="s">
        <v>17</v>
      </c>
      <c r="C143" s="46" t="s">
        <v>139</v>
      </c>
      <c r="D143" s="46" t="s">
        <v>68</v>
      </c>
      <c r="E143" s="46" t="s">
        <v>15</v>
      </c>
      <c r="F143" s="46" t="s">
        <v>236</v>
      </c>
      <c r="G143" s="46" t="s">
        <v>554</v>
      </c>
      <c r="H143" s="46" t="s">
        <v>47</v>
      </c>
      <c r="I143" s="46" t="s">
        <v>555</v>
      </c>
      <c r="J143" s="4">
        <v>1017</v>
      </c>
      <c r="K143" s="28">
        <v>41530</v>
      </c>
      <c r="M143" s="46" t="s">
        <v>22</v>
      </c>
      <c r="N143" s="46" t="s">
        <v>16</v>
      </c>
      <c r="O143" s="48">
        <v>1E-3</v>
      </c>
      <c r="P143" s="2">
        <v>0.05</v>
      </c>
    </row>
    <row r="144" spans="1:16" x14ac:dyDescent="0.25">
      <c r="A144" s="36" t="s">
        <v>402</v>
      </c>
      <c r="B144" s="47" t="s">
        <v>17</v>
      </c>
      <c r="C144" s="46" t="s">
        <v>0</v>
      </c>
      <c r="D144" s="46" t="s">
        <v>56</v>
      </c>
      <c r="E144" s="46" t="s">
        <v>372</v>
      </c>
      <c r="F144" s="46" t="s">
        <v>403</v>
      </c>
      <c r="G144" s="46" t="s">
        <v>404</v>
      </c>
      <c r="H144" s="46" t="s">
        <v>134</v>
      </c>
      <c r="I144" s="46" t="s">
        <v>405</v>
      </c>
      <c r="J144" s="4">
        <v>304</v>
      </c>
      <c r="K144" s="28">
        <v>40817</v>
      </c>
      <c r="M144" s="46" t="s">
        <v>24</v>
      </c>
      <c r="N144" s="46" t="s">
        <v>2</v>
      </c>
      <c r="O144" s="48">
        <v>1E-3</v>
      </c>
      <c r="P144" s="2">
        <v>0.05</v>
      </c>
    </row>
    <row r="145" spans="1:16" x14ac:dyDescent="0.25">
      <c r="A145" s="36" t="s">
        <v>414</v>
      </c>
      <c r="B145" s="47" t="s">
        <v>17</v>
      </c>
      <c r="C145" s="46" t="s">
        <v>0</v>
      </c>
      <c r="D145" s="46" t="s">
        <v>68</v>
      </c>
      <c r="E145" s="46" t="s">
        <v>15</v>
      </c>
      <c r="F145" s="46" t="s">
        <v>84</v>
      </c>
      <c r="G145" s="46" t="s">
        <v>415</v>
      </c>
      <c r="H145" s="46" t="s">
        <v>47</v>
      </c>
      <c r="I145" s="46" t="s">
        <v>416</v>
      </c>
      <c r="J145" s="4">
        <v>320</v>
      </c>
      <c r="K145" s="28">
        <v>40833</v>
      </c>
      <c r="M145" s="46" t="s">
        <v>54</v>
      </c>
      <c r="N145" s="46" t="s">
        <v>16</v>
      </c>
      <c r="O145" s="48">
        <v>1E-3</v>
      </c>
      <c r="P145" s="2">
        <v>0.05</v>
      </c>
    </row>
    <row r="146" spans="1:16" x14ac:dyDescent="0.25">
      <c r="A146" s="36" t="s">
        <v>414</v>
      </c>
      <c r="B146" s="47" t="s">
        <v>17</v>
      </c>
      <c r="C146" s="46" t="s">
        <v>0</v>
      </c>
      <c r="D146" s="46" t="s">
        <v>68</v>
      </c>
      <c r="E146" s="46" t="s">
        <v>15</v>
      </c>
      <c r="F146" s="46" t="s">
        <v>84</v>
      </c>
      <c r="G146" s="46" t="s">
        <v>417</v>
      </c>
      <c r="H146" s="46" t="s">
        <v>47</v>
      </c>
      <c r="I146" s="46" t="s">
        <v>416</v>
      </c>
      <c r="J146" s="4">
        <v>686</v>
      </c>
      <c r="K146" s="28">
        <v>41199</v>
      </c>
      <c r="M146" s="46" t="s">
        <v>22</v>
      </c>
      <c r="N146" s="46" t="s">
        <v>16</v>
      </c>
      <c r="O146" s="48">
        <v>1E-3</v>
      </c>
      <c r="P146" s="2">
        <v>0.05</v>
      </c>
    </row>
    <row r="147" spans="1:16" x14ac:dyDescent="0.25">
      <c r="A147" s="36" t="s">
        <v>414</v>
      </c>
      <c r="B147" s="47" t="s">
        <v>17</v>
      </c>
      <c r="C147" s="46" t="s">
        <v>0</v>
      </c>
      <c r="D147" s="46" t="s">
        <v>68</v>
      </c>
      <c r="E147" s="46" t="s">
        <v>15</v>
      </c>
      <c r="F147" s="46" t="s">
        <v>194</v>
      </c>
      <c r="G147" s="46" t="s">
        <v>418</v>
      </c>
      <c r="H147" s="46" t="s">
        <v>47</v>
      </c>
      <c r="I147" s="46" t="s">
        <v>416</v>
      </c>
      <c r="J147" s="4">
        <v>686</v>
      </c>
      <c r="K147" s="28">
        <v>41199</v>
      </c>
      <c r="M147" s="46" t="s">
        <v>23</v>
      </c>
      <c r="N147" s="46" t="s">
        <v>16</v>
      </c>
      <c r="O147" s="48">
        <v>1E-3</v>
      </c>
      <c r="P147" s="2">
        <v>0.05</v>
      </c>
    </row>
    <row r="148" spans="1:16" x14ac:dyDescent="0.25">
      <c r="A148" s="36" t="s">
        <v>293</v>
      </c>
      <c r="B148" s="47" t="s">
        <v>13</v>
      </c>
      <c r="C148" s="46" t="s">
        <v>139</v>
      </c>
      <c r="D148" s="46" t="s">
        <v>44</v>
      </c>
      <c r="E148" s="46" t="s">
        <v>15</v>
      </c>
      <c r="F148" s="46" t="s">
        <v>261</v>
      </c>
      <c r="G148" s="46" t="s">
        <v>294</v>
      </c>
      <c r="H148" s="46" t="s">
        <v>47</v>
      </c>
      <c r="I148" s="46" t="s">
        <v>295</v>
      </c>
      <c r="J148" s="4">
        <v>1249</v>
      </c>
      <c r="K148" s="28">
        <v>41762</v>
      </c>
      <c r="L148" s="36" t="s">
        <v>21</v>
      </c>
      <c r="M148" s="46" t="s">
        <v>22</v>
      </c>
      <c r="N148" s="46" t="s">
        <v>16</v>
      </c>
      <c r="O148" s="48"/>
      <c r="P148" s="2"/>
    </row>
    <row r="149" spans="1:16" x14ac:dyDescent="0.25">
      <c r="A149" s="36" t="s">
        <v>208</v>
      </c>
      <c r="B149" s="47" t="s">
        <v>13</v>
      </c>
      <c r="C149" s="46" t="s">
        <v>366</v>
      </c>
      <c r="D149" s="46">
        <v>3</v>
      </c>
      <c r="E149" s="46" t="s">
        <v>63</v>
      </c>
      <c r="F149" s="46" t="s">
        <v>209</v>
      </c>
      <c r="G149" s="46" t="s">
        <v>210</v>
      </c>
      <c r="H149" s="46" t="s">
        <v>211</v>
      </c>
      <c r="I149" s="46" t="s">
        <v>212</v>
      </c>
      <c r="J149" s="4">
        <v>1015</v>
      </c>
      <c r="K149" s="28">
        <v>41528</v>
      </c>
      <c r="L149" s="52" t="s">
        <v>21</v>
      </c>
      <c r="M149" s="46" t="s">
        <v>54</v>
      </c>
      <c r="N149" s="46" t="s">
        <v>662</v>
      </c>
      <c r="O149" s="48"/>
      <c r="P149" s="2"/>
    </row>
    <row r="150" spans="1:16" x14ac:dyDescent="0.25">
      <c r="A150" s="36" t="s">
        <v>330</v>
      </c>
      <c r="B150" s="47" t="s">
        <v>13</v>
      </c>
      <c r="C150" s="46" t="s">
        <v>188</v>
      </c>
      <c r="D150" s="46" t="s">
        <v>68</v>
      </c>
      <c r="E150" s="46" t="s">
        <v>63</v>
      </c>
      <c r="F150" s="46" t="s">
        <v>331</v>
      </c>
      <c r="G150" s="46" t="s">
        <v>332</v>
      </c>
      <c r="H150" s="46" t="s">
        <v>190</v>
      </c>
      <c r="I150" s="46" t="s">
        <v>333</v>
      </c>
      <c r="J150" s="4">
        <v>325</v>
      </c>
      <c r="K150" s="28">
        <v>40838</v>
      </c>
      <c r="L150" s="36" t="s">
        <v>21</v>
      </c>
      <c r="M150" s="46" t="s">
        <v>23</v>
      </c>
      <c r="N150" s="46" t="s">
        <v>662</v>
      </c>
      <c r="O150" s="48"/>
      <c r="P150" s="2"/>
    </row>
    <row r="151" spans="1:16" x14ac:dyDescent="0.25">
      <c r="A151" s="36" t="s">
        <v>61</v>
      </c>
      <c r="B151" s="47" t="s">
        <v>13</v>
      </c>
      <c r="C151" s="46" t="s">
        <v>366</v>
      </c>
      <c r="D151" s="46">
        <v>3</v>
      </c>
      <c r="E151" s="46" t="s">
        <v>63</v>
      </c>
      <c r="F151" s="46">
        <v>100</v>
      </c>
      <c r="G151" s="46" t="s">
        <v>64</v>
      </c>
      <c r="H151" s="46" t="s">
        <v>65</v>
      </c>
      <c r="I151" s="46" t="s">
        <v>66</v>
      </c>
      <c r="J151" s="4">
        <v>1249</v>
      </c>
      <c r="K151" s="28">
        <v>41762</v>
      </c>
      <c r="L151" s="52" t="s">
        <v>21</v>
      </c>
      <c r="M151" s="46" t="s">
        <v>23</v>
      </c>
      <c r="N151" s="46" t="s">
        <v>662</v>
      </c>
      <c r="O151" s="48">
        <v>1E-3</v>
      </c>
      <c r="P151" s="2"/>
    </row>
    <row r="152" spans="1:16" x14ac:dyDescent="0.25">
      <c r="A152" s="36" t="s">
        <v>132</v>
      </c>
      <c r="B152" s="47" t="s">
        <v>13</v>
      </c>
      <c r="C152" s="46" t="s">
        <v>366</v>
      </c>
      <c r="D152" s="46" t="s">
        <v>68</v>
      </c>
      <c r="E152" s="46" t="s">
        <v>372</v>
      </c>
      <c r="F152" s="46" t="s">
        <v>136</v>
      </c>
      <c r="G152" s="46" t="s">
        <v>137</v>
      </c>
      <c r="H152" s="46" t="s">
        <v>134</v>
      </c>
      <c r="I152" s="46" t="s">
        <v>135</v>
      </c>
      <c r="J152" s="4">
        <v>1313</v>
      </c>
      <c r="K152" s="28">
        <v>41826</v>
      </c>
      <c r="L152" s="52" t="s">
        <v>21</v>
      </c>
      <c r="M152" s="46" t="s">
        <v>24</v>
      </c>
      <c r="N152" s="46" t="s">
        <v>2</v>
      </c>
      <c r="O152" s="48">
        <v>1E-3</v>
      </c>
      <c r="P152" s="2"/>
    </row>
    <row r="153" spans="1:16" x14ac:dyDescent="0.25">
      <c r="A153" s="36" t="s">
        <v>91</v>
      </c>
      <c r="B153" s="47" t="s">
        <v>17</v>
      </c>
      <c r="C153" s="46" t="s">
        <v>358</v>
      </c>
      <c r="D153" s="46" t="s">
        <v>62</v>
      </c>
      <c r="E153" s="46" t="s">
        <v>15</v>
      </c>
      <c r="F153" s="46" t="s">
        <v>92</v>
      </c>
      <c r="G153" s="46" t="s">
        <v>93</v>
      </c>
      <c r="H153" s="46" t="s">
        <v>47</v>
      </c>
      <c r="I153" s="46" t="s">
        <v>94</v>
      </c>
      <c r="J153" s="4">
        <v>1249</v>
      </c>
      <c r="K153" s="28">
        <v>41762</v>
      </c>
      <c r="M153" s="46" t="s">
        <v>23</v>
      </c>
      <c r="N153" s="46" t="s">
        <v>16</v>
      </c>
      <c r="O153" s="48">
        <v>1E-3</v>
      </c>
      <c r="P153" s="2">
        <v>0.05</v>
      </c>
    </row>
    <row r="154" spans="1:16" x14ac:dyDescent="0.25">
      <c r="A154" s="36" t="s">
        <v>324</v>
      </c>
      <c r="B154" s="47" t="s">
        <v>13</v>
      </c>
      <c r="C154" s="46" t="s">
        <v>366</v>
      </c>
      <c r="D154" s="46" t="s">
        <v>68</v>
      </c>
      <c r="E154" s="46" t="s">
        <v>15</v>
      </c>
      <c r="F154" s="46" t="s">
        <v>329</v>
      </c>
      <c r="G154" s="56" t="s">
        <v>694</v>
      </c>
      <c r="H154" s="46" t="s">
        <v>47</v>
      </c>
      <c r="I154" s="46" t="s">
        <v>327</v>
      </c>
      <c r="J154" s="4">
        <v>1479</v>
      </c>
      <c r="K154" s="28">
        <v>41992</v>
      </c>
      <c r="L154" s="52" t="s">
        <v>21</v>
      </c>
      <c r="M154" s="46" t="s">
        <v>54</v>
      </c>
      <c r="N154" s="46" t="s">
        <v>16</v>
      </c>
      <c r="O154" s="48"/>
      <c r="P154" s="2"/>
    </row>
    <row r="155" spans="1:16" x14ac:dyDescent="0.25">
      <c r="A155" s="36" t="s">
        <v>296</v>
      </c>
      <c r="B155" s="47" t="s">
        <v>13</v>
      </c>
      <c r="C155" s="46" t="s">
        <v>366</v>
      </c>
      <c r="D155" s="46" t="s">
        <v>44</v>
      </c>
      <c r="E155" s="46" t="s">
        <v>297</v>
      </c>
      <c r="F155" s="46" t="s">
        <v>272</v>
      </c>
      <c r="G155" s="46" t="s">
        <v>298</v>
      </c>
      <c r="H155" s="46" t="s">
        <v>82</v>
      </c>
      <c r="I155" s="46" t="s">
        <v>299</v>
      </c>
      <c r="J155" s="4">
        <v>9284</v>
      </c>
      <c r="K155" s="28">
        <v>49797</v>
      </c>
      <c r="L155" s="52" t="s">
        <v>21</v>
      </c>
      <c r="M155" s="46" t="s">
        <v>23</v>
      </c>
      <c r="N155" s="46" t="s">
        <v>671</v>
      </c>
      <c r="O155" s="48"/>
      <c r="P155" s="2"/>
    </row>
    <row r="156" spans="1:16" x14ac:dyDescent="0.25">
      <c r="A156" s="36" t="s">
        <v>95</v>
      </c>
      <c r="B156" s="47" t="s">
        <v>17</v>
      </c>
      <c r="C156" s="46" t="s">
        <v>188</v>
      </c>
      <c r="D156" s="46" t="s">
        <v>68</v>
      </c>
      <c r="E156" s="46" t="s">
        <v>15</v>
      </c>
      <c r="F156" s="46" t="s">
        <v>96</v>
      </c>
      <c r="G156" s="46" t="s">
        <v>97</v>
      </c>
      <c r="H156" s="46" t="s">
        <v>47</v>
      </c>
      <c r="I156" s="46" t="s">
        <v>98</v>
      </c>
      <c r="J156" s="4">
        <v>411</v>
      </c>
      <c r="K156" s="28">
        <v>40924</v>
      </c>
      <c r="M156" s="46" t="s">
        <v>24</v>
      </c>
      <c r="N156" s="46" t="s">
        <v>16</v>
      </c>
      <c r="O156" s="48">
        <v>1E-3</v>
      </c>
      <c r="P156" s="2">
        <v>0.05</v>
      </c>
    </row>
    <row r="157" spans="1:16" x14ac:dyDescent="0.25">
      <c r="A157" s="36" t="s">
        <v>95</v>
      </c>
      <c r="B157" s="47" t="s">
        <v>17</v>
      </c>
      <c r="C157" s="46" t="s">
        <v>188</v>
      </c>
      <c r="D157" s="46" t="s">
        <v>68</v>
      </c>
      <c r="E157" s="46" t="s">
        <v>15</v>
      </c>
      <c r="F157" s="46" t="s">
        <v>99</v>
      </c>
      <c r="G157" s="46" t="s">
        <v>100</v>
      </c>
      <c r="H157" s="46" t="s">
        <v>47</v>
      </c>
      <c r="I157" s="46" t="s">
        <v>98</v>
      </c>
      <c r="J157" s="4">
        <v>777</v>
      </c>
      <c r="K157" s="28">
        <v>41290</v>
      </c>
      <c r="M157" s="46" t="s">
        <v>54</v>
      </c>
      <c r="N157" s="46" t="s">
        <v>16</v>
      </c>
      <c r="O157" s="48">
        <v>1E-3</v>
      </c>
      <c r="P157" s="2">
        <v>0.05</v>
      </c>
    </row>
    <row r="158" spans="1:16" x14ac:dyDescent="0.25">
      <c r="A158" s="36" t="s">
        <v>75</v>
      </c>
      <c r="B158" s="47" t="s">
        <v>13</v>
      </c>
      <c r="C158" s="46" t="s">
        <v>0</v>
      </c>
      <c r="D158" s="46" t="s">
        <v>56</v>
      </c>
      <c r="E158" s="46" t="s">
        <v>15</v>
      </c>
      <c r="F158" s="46" t="s">
        <v>76</v>
      </c>
      <c r="G158" s="46" t="s">
        <v>77</v>
      </c>
      <c r="H158" s="46" t="s">
        <v>47</v>
      </c>
      <c r="I158" s="46" t="s">
        <v>78</v>
      </c>
      <c r="J158" s="4">
        <v>1162</v>
      </c>
      <c r="K158" s="28">
        <v>41675</v>
      </c>
      <c r="L158" s="36" t="s">
        <v>21</v>
      </c>
      <c r="M158" s="46" t="s">
        <v>23</v>
      </c>
      <c r="N158" s="46" t="s">
        <v>16</v>
      </c>
      <c r="O158" s="48">
        <v>1E-3</v>
      </c>
      <c r="P158" s="2"/>
    </row>
    <row r="159" spans="1:16" x14ac:dyDescent="0.25">
      <c r="A159" s="36" t="s">
        <v>233</v>
      </c>
      <c r="B159" s="47" t="s">
        <v>13</v>
      </c>
      <c r="C159" s="46" t="s">
        <v>139</v>
      </c>
      <c r="D159" s="46" t="s">
        <v>56</v>
      </c>
      <c r="E159" s="46" t="s">
        <v>15</v>
      </c>
      <c r="F159" s="46" t="s">
        <v>110</v>
      </c>
      <c r="G159" s="46" t="s">
        <v>234</v>
      </c>
      <c r="H159" s="46" t="s">
        <v>47</v>
      </c>
      <c r="I159" s="46" t="s">
        <v>235</v>
      </c>
      <c r="J159" s="4">
        <v>804</v>
      </c>
      <c r="K159" s="28">
        <v>41317</v>
      </c>
      <c r="L159" s="36" t="s">
        <v>21</v>
      </c>
      <c r="M159" s="46" t="s">
        <v>23</v>
      </c>
      <c r="N159" s="46" t="s">
        <v>16</v>
      </c>
      <c r="O159" s="48"/>
      <c r="P159" s="2"/>
    </row>
    <row r="160" spans="1:16" x14ac:dyDescent="0.25">
      <c r="A160" s="36" t="s">
        <v>233</v>
      </c>
      <c r="B160" s="47" t="s">
        <v>13</v>
      </c>
      <c r="C160" s="46" t="s">
        <v>139</v>
      </c>
      <c r="D160" s="46" t="s">
        <v>56</v>
      </c>
      <c r="E160" s="46" t="s">
        <v>15</v>
      </c>
      <c r="F160" s="46" t="s">
        <v>236</v>
      </c>
      <c r="G160" s="46" t="s">
        <v>237</v>
      </c>
      <c r="H160" s="46" t="s">
        <v>47</v>
      </c>
      <c r="I160" s="46" t="s">
        <v>235</v>
      </c>
      <c r="J160" s="4">
        <v>1169</v>
      </c>
      <c r="K160" s="28">
        <v>41682</v>
      </c>
      <c r="L160" s="36" t="s">
        <v>21</v>
      </c>
      <c r="M160" s="46" t="s">
        <v>24</v>
      </c>
      <c r="N160" s="46" t="s">
        <v>16</v>
      </c>
      <c r="O160" s="48"/>
      <c r="P160" s="2"/>
    </row>
    <row r="161" spans="1:16" x14ac:dyDescent="0.25">
      <c r="A161" s="36" t="s">
        <v>524</v>
      </c>
      <c r="B161" s="47" t="s">
        <v>17</v>
      </c>
      <c r="C161" s="46" t="s">
        <v>0</v>
      </c>
      <c r="D161" s="46" t="s">
        <v>44</v>
      </c>
      <c r="E161" s="46" t="s">
        <v>15</v>
      </c>
      <c r="F161" s="46" t="s">
        <v>110</v>
      </c>
      <c r="G161" s="46" t="s">
        <v>525</v>
      </c>
      <c r="H161" s="46" t="s">
        <v>47</v>
      </c>
      <c r="I161" s="46" t="s">
        <v>526</v>
      </c>
      <c r="J161" s="4">
        <v>833</v>
      </c>
      <c r="K161" s="28">
        <v>41346</v>
      </c>
      <c r="M161" s="46" t="s">
        <v>54</v>
      </c>
      <c r="N161" s="46" t="s">
        <v>16</v>
      </c>
      <c r="O161" s="48">
        <v>1E-3</v>
      </c>
      <c r="P161" s="2">
        <v>0.05</v>
      </c>
    </row>
    <row r="162" spans="1:16" x14ac:dyDescent="0.25">
      <c r="A162" s="36" t="s">
        <v>524</v>
      </c>
      <c r="B162" s="47" t="s">
        <v>17</v>
      </c>
      <c r="C162" s="46" t="s">
        <v>224</v>
      </c>
      <c r="D162" s="46" t="s">
        <v>80</v>
      </c>
      <c r="E162" s="46" t="s">
        <v>15</v>
      </c>
      <c r="F162" s="46" t="s">
        <v>252</v>
      </c>
      <c r="G162" s="46" t="s">
        <v>527</v>
      </c>
      <c r="H162" s="46" t="s">
        <v>47</v>
      </c>
      <c r="I162" s="46" t="s">
        <v>526</v>
      </c>
      <c r="J162" s="4">
        <v>1379</v>
      </c>
      <c r="K162" s="28">
        <v>41892</v>
      </c>
      <c r="M162" s="46" t="s">
        <v>23</v>
      </c>
      <c r="N162" s="46" t="s">
        <v>16</v>
      </c>
      <c r="O162" s="48">
        <v>1E-3</v>
      </c>
      <c r="P162" s="2">
        <v>0.05</v>
      </c>
    </row>
    <row r="163" spans="1:16" x14ac:dyDescent="0.25">
      <c r="A163" s="36" t="s">
        <v>524</v>
      </c>
      <c r="B163" s="47" t="s">
        <v>17</v>
      </c>
      <c r="C163" s="46" t="s">
        <v>224</v>
      </c>
      <c r="D163" s="46" t="s">
        <v>44</v>
      </c>
      <c r="E163" s="46" t="s">
        <v>15</v>
      </c>
      <c r="F163" s="46" t="s">
        <v>368</v>
      </c>
      <c r="G163" s="46" t="s">
        <v>528</v>
      </c>
      <c r="H163" s="46" t="s">
        <v>47</v>
      </c>
      <c r="I163" s="46" t="s">
        <v>526</v>
      </c>
      <c r="J163" s="4">
        <v>1198</v>
      </c>
      <c r="K163" s="28">
        <v>41711</v>
      </c>
      <c r="M163" s="46" t="s">
        <v>22</v>
      </c>
      <c r="N163" s="46" t="s">
        <v>16</v>
      </c>
      <c r="O163" s="48">
        <v>1E-3</v>
      </c>
      <c r="P163" s="2">
        <v>0.05</v>
      </c>
    </row>
    <row r="164" spans="1:16" x14ac:dyDescent="0.25">
      <c r="A164" s="36" t="s">
        <v>500</v>
      </c>
      <c r="B164" s="23" t="s">
        <v>17</v>
      </c>
      <c r="C164" s="46" t="s">
        <v>0</v>
      </c>
      <c r="D164" s="46" t="s">
        <v>56</v>
      </c>
      <c r="E164" s="46" t="s">
        <v>15</v>
      </c>
      <c r="F164" s="46" t="s">
        <v>382</v>
      </c>
      <c r="G164" s="46" t="s">
        <v>501</v>
      </c>
      <c r="H164" s="46" t="s">
        <v>47</v>
      </c>
      <c r="I164" s="46" t="s">
        <v>502</v>
      </c>
      <c r="J164" s="4">
        <v>884</v>
      </c>
      <c r="K164" s="28">
        <v>41397</v>
      </c>
      <c r="L164" s="3"/>
      <c r="M164" s="46" t="s">
        <v>23</v>
      </c>
      <c r="N164" s="46" t="s">
        <v>16</v>
      </c>
      <c r="O164" s="48">
        <v>1E-3</v>
      </c>
      <c r="P164" s="2">
        <v>0.05</v>
      </c>
    </row>
    <row r="165" spans="1:16" x14ac:dyDescent="0.25">
      <c r="A165" s="36" t="s">
        <v>500</v>
      </c>
      <c r="B165" s="47" t="s">
        <v>17</v>
      </c>
      <c r="C165" s="46" t="s">
        <v>0</v>
      </c>
      <c r="D165" s="46" t="s">
        <v>112</v>
      </c>
      <c r="E165" s="46" t="s">
        <v>15</v>
      </c>
      <c r="F165" s="46" t="s">
        <v>153</v>
      </c>
      <c r="G165" s="46" t="s">
        <v>503</v>
      </c>
      <c r="H165" s="46" t="s">
        <v>47</v>
      </c>
      <c r="I165" s="46" t="s">
        <v>502</v>
      </c>
      <c r="J165" s="4">
        <v>1219</v>
      </c>
      <c r="K165" s="28">
        <v>41732</v>
      </c>
      <c r="M165" s="46" t="s">
        <v>24</v>
      </c>
      <c r="N165" s="46" t="s">
        <v>16</v>
      </c>
      <c r="O165" s="48">
        <v>1E-3</v>
      </c>
      <c r="P165" s="2">
        <v>0.05</v>
      </c>
    </row>
    <row r="166" spans="1:16" x14ac:dyDescent="0.25">
      <c r="A166" s="36" t="s">
        <v>451</v>
      </c>
      <c r="B166" s="47" t="s">
        <v>17</v>
      </c>
      <c r="C166" s="46" t="s">
        <v>139</v>
      </c>
      <c r="D166" s="46" t="s">
        <v>68</v>
      </c>
      <c r="E166" s="46" t="s">
        <v>15</v>
      </c>
      <c r="F166" s="46" t="s">
        <v>151</v>
      </c>
      <c r="G166" s="46" t="s">
        <v>452</v>
      </c>
      <c r="H166" s="46" t="s">
        <v>47</v>
      </c>
      <c r="I166" s="46" t="s">
        <v>453</v>
      </c>
      <c r="J166" s="4">
        <v>518</v>
      </c>
      <c r="K166" s="28">
        <v>41031</v>
      </c>
      <c r="M166" s="46" t="s">
        <v>23</v>
      </c>
      <c r="N166" s="46" t="s">
        <v>16</v>
      </c>
      <c r="O166" s="48">
        <v>1E-3</v>
      </c>
      <c r="P166" s="2">
        <v>0.05</v>
      </c>
    </row>
    <row r="167" spans="1:16" x14ac:dyDescent="0.25">
      <c r="A167" s="36" t="s">
        <v>451</v>
      </c>
      <c r="B167" s="47" t="s">
        <v>17</v>
      </c>
      <c r="C167" s="46" t="s">
        <v>0</v>
      </c>
      <c r="D167" s="46" t="s">
        <v>56</v>
      </c>
      <c r="E167" s="46" t="s">
        <v>15</v>
      </c>
      <c r="F167" s="46" t="s">
        <v>388</v>
      </c>
      <c r="G167" s="46" t="s">
        <v>454</v>
      </c>
      <c r="H167" s="46" t="s">
        <v>47</v>
      </c>
      <c r="I167" s="46" t="s">
        <v>453</v>
      </c>
      <c r="J167" s="4">
        <v>1249</v>
      </c>
      <c r="K167" s="28">
        <v>41762</v>
      </c>
      <c r="M167" s="46" t="s">
        <v>24</v>
      </c>
      <c r="N167" s="46" t="s">
        <v>16</v>
      </c>
      <c r="O167" s="48">
        <v>1E-3</v>
      </c>
      <c r="P167" s="2">
        <v>0.05</v>
      </c>
    </row>
    <row r="168" spans="1:16" x14ac:dyDescent="0.25">
      <c r="A168" s="36" t="s">
        <v>223</v>
      </c>
      <c r="B168" s="47" t="s">
        <v>13</v>
      </c>
      <c r="C168" s="46" t="s">
        <v>224</v>
      </c>
      <c r="D168" s="46" t="s">
        <v>112</v>
      </c>
      <c r="E168" s="46" t="s">
        <v>15</v>
      </c>
      <c r="F168" s="46" t="s">
        <v>225</v>
      </c>
      <c r="G168" s="46" t="s">
        <v>226</v>
      </c>
      <c r="H168" s="46" t="s">
        <v>47</v>
      </c>
      <c r="I168" s="46" t="s">
        <v>227</v>
      </c>
      <c r="J168" s="4">
        <v>1249</v>
      </c>
      <c r="K168" s="28">
        <v>41762</v>
      </c>
      <c r="L168" s="36" t="s">
        <v>21</v>
      </c>
      <c r="M168" s="46" t="s">
        <v>54</v>
      </c>
      <c r="N168" s="46" t="s">
        <v>16</v>
      </c>
      <c r="O168" s="48"/>
      <c r="P168" s="2"/>
    </row>
    <row r="169" spans="1:16" x14ac:dyDescent="0.25">
      <c r="A169" s="36" t="s">
        <v>560</v>
      </c>
      <c r="B169" s="47" t="s">
        <v>17</v>
      </c>
      <c r="C169" s="46" t="s">
        <v>188</v>
      </c>
      <c r="D169" s="46" t="s">
        <v>56</v>
      </c>
      <c r="E169" s="46" t="s">
        <v>15</v>
      </c>
      <c r="F169" s="46" t="s">
        <v>561</v>
      </c>
      <c r="G169" s="46" t="s">
        <v>562</v>
      </c>
      <c r="H169" s="46" t="s">
        <v>47</v>
      </c>
      <c r="I169" s="46" t="s">
        <v>563</v>
      </c>
      <c r="J169" s="4">
        <v>518</v>
      </c>
      <c r="K169" s="28">
        <v>41031</v>
      </c>
      <c r="M169" s="46" t="s">
        <v>54</v>
      </c>
      <c r="N169" s="46" t="s">
        <v>16</v>
      </c>
      <c r="O169" s="48">
        <v>1E-3</v>
      </c>
      <c r="P169" s="2">
        <v>0.05</v>
      </c>
    </row>
    <row r="170" spans="1:16" x14ac:dyDescent="0.25">
      <c r="A170" s="36" t="s">
        <v>409</v>
      </c>
      <c r="B170" s="47" t="s">
        <v>17</v>
      </c>
      <c r="C170" s="46" t="s">
        <v>139</v>
      </c>
      <c r="D170" s="46" t="s">
        <v>68</v>
      </c>
      <c r="E170" s="46" t="s">
        <v>15</v>
      </c>
      <c r="F170" s="46" t="s">
        <v>118</v>
      </c>
      <c r="G170" s="46" t="s">
        <v>410</v>
      </c>
      <c r="H170" s="46" t="s">
        <v>47</v>
      </c>
      <c r="I170" s="46" t="s">
        <v>411</v>
      </c>
      <c r="J170" s="4">
        <v>502</v>
      </c>
      <c r="K170" s="28">
        <v>41015</v>
      </c>
      <c r="M170" s="46" t="s">
        <v>23</v>
      </c>
      <c r="N170" s="46" t="s">
        <v>16</v>
      </c>
      <c r="O170" s="48">
        <v>1E-3</v>
      </c>
      <c r="P170" s="2">
        <v>0.05</v>
      </c>
    </row>
    <row r="171" spans="1:16" x14ac:dyDescent="0.25">
      <c r="A171" s="36" t="s">
        <v>409</v>
      </c>
      <c r="B171" s="47" t="s">
        <v>17</v>
      </c>
      <c r="C171" s="46" t="s">
        <v>139</v>
      </c>
      <c r="D171" s="46" t="s">
        <v>68</v>
      </c>
      <c r="E171" s="46" t="s">
        <v>15</v>
      </c>
      <c r="F171" s="46" t="s">
        <v>412</v>
      </c>
      <c r="G171" s="46" t="s">
        <v>413</v>
      </c>
      <c r="H171" s="46" t="s">
        <v>47</v>
      </c>
      <c r="I171" s="46" t="s">
        <v>411</v>
      </c>
      <c r="J171" s="4">
        <v>868</v>
      </c>
      <c r="K171" s="28">
        <v>41381</v>
      </c>
      <c r="M171" s="46" t="s">
        <v>24</v>
      </c>
      <c r="N171" s="46" t="s">
        <v>16</v>
      </c>
      <c r="O171" s="48">
        <v>1E-3</v>
      </c>
      <c r="P171" s="2">
        <v>0.05</v>
      </c>
    </row>
    <row r="172" spans="1:16" x14ac:dyDescent="0.25">
      <c r="A172" s="36" t="s">
        <v>497</v>
      </c>
      <c r="B172" s="47" t="s">
        <v>17</v>
      </c>
      <c r="C172" s="46" t="s">
        <v>0</v>
      </c>
      <c r="D172" s="46" t="s">
        <v>62</v>
      </c>
      <c r="E172" s="46" t="s">
        <v>15</v>
      </c>
      <c r="F172" s="46" t="s">
        <v>136</v>
      </c>
      <c r="G172" s="46" t="s">
        <v>498</v>
      </c>
      <c r="H172" s="46" t="s">
        <v>47</v>
      </c>
      <c r="I172" s="46" t="s">
        <v>499</v>
      </c>
      <c r="J172" s="4">
        <v>530</v>
      </c>
      <c r="K172" s="28">
        <v>41043</v>
      </c>
      <c r="M172" s="46" t="s">
        <v>22</v>
      </c>
      <c r="N172" s="46" t="s">
        <v>16</v>
      </c>
      <c r="O172" s="48">
        <v>1E-3</v>
      </c>
      <c r="P172" s="2">
        <v>0.05</v>
      </c>
    </row>
    <row r="173" spans="1:16" x14ac:dyDescent="0.25">
      <c r="A173" s="36" t="s">
        <v>507</v>
      </c>
      <c r="B173" s="47" t="s">
        <v>17</v>
      </c>
      <c r="C173" s="46" t="s">
        <v>139</v>
      </c>
      <c r="D173" s="46" t="s">
        <v>68</v>
      </c>
      <c r="E173" s="46" t="s">
        <v>15</v>
      </c>
      <c r="F173" s="46" t="s">
        <v>136</v>
      </c>
      <c r="G173" s="46" t="s">
        <v>508</v>
      </c>
      <c r="H173" s="46" t="s">
        <v>47</v>
      </c>
      <c r="I173" s="46" t="s">
        <v>509</v>
      </c>
      <c r="J173" s="4">
        <v>1288</v>
      </c>
      <c r="K173" s="28">
        <v>41801</v>
      </c>
      <c r="M173" s="46" t="s">
        <v>24</v>
      </c>
      <c r="N173" s="46" t="s">
        <v>16</v>
      </c>
      <c r="O173" s="48">
        <v>1E-3</v>
      </c>
      <c r="P173" s="2">
        <v>0.05</v>
      </c>
    </row>
    <row r="174" spans="1:16" x14ac:dyDescent="0.25">
      <c r="A174" s="36" t="s">
        <v>507</v>
      </c>
      <c r="B174" s="47" t="s">
        <v>17</v>
      </c>
      <c r="C174" s="46" t="s">
        <v>139</v>
      </c>
      <c r="D174" s="46" t="s">
        <v>68</v>
      </c>
      <c r="E174" s="46" t="s">
        <v>15</v>
      </c>
      <c r="F174" s="46" t="s">
        <v>96</v>
      </c>
      <c r="G174" s="46" t="s">
        <v>510</v>
      </c>
      <c r="H174" s="46" t="s">
        <v>47</v>
      </c>
      <c r="I174" s="46" t="s">
        <v>509</v>
      </c>
      <c r="J174" s="4">
        <v>557</v>
      </c>
      <c r="K174" s="28">
        <v>41070</v>
      </c>
      <c r="M174" s="46" t="s">
        <v>54</v>
      </c>
      <c r="N174" s="46" t="s">
        <v>16</v>
      </c>
      <c r="O174" s="48">
        <v>1E-3</v>
      </c>
      <c r="P174" s="2">
        <v>0.05</v>
      </c>
    </row>
    <row r="175" spans="1:16" x14ac:dyDescent="0.25">
      <c r="A175" s="36" t="s">
        <v>507</v>
      </c>
      <c r="B175" s="47" t="s">
        <v>17</v>
      </c>
      <c r="C175" s="46" t="s">
        <v>139</v>
      </c>
      <c r="D175" s="46" t="s">
        <v>68</v>
      </c>
      <c r="E175" s="46" t="s">
        <v>15</v>
      </c>
      <c r="F175" s="46" t="s">
        <v>101</v>
      </c>
      <c r="G175" s="46" t="s">
        <v>511</v>
      </c>
      <c r="H175" s="46" t="s">
        <v>47</v>
      </c>
      <c r="I175" s="46" t="s">
        <v>509</v>
      </c>
      <c r="J175" s="4">
        <v>1288</v>
      </c>
      <c r="K175" s="28">
        <v>41801</v>
      </c>
      <c r="M175" s="46" t="s">
        <v>22</v>
      </c>
      <c r="N175" s="46" t="s">
        <v>16</v>
      </c>
      <c r="O175" s="48">
        <v>1E-3</v>
      </c>
      <c r="P175" s="2">
        <v>0.05</v>
      </c>
    </row>
    <row r="176" spans="1:16" x14ac:dyDescent="0.25">
      <c r="A176" s="36" t="s">
        <v>166</v>
      </c>
      <c r="B176" s="47" t="s">
        <v>13</v>
      </c>
      <c r="C176" s="46" t="s">
        <v>0</v>
      </c>
      <c r="D176" s="46" t="s">
        <v>112</v>
      </c>
      <c r="E176" s="46" t="s">
        <v>15</v>
      </c>
      <c r="F176" s="46" t="s">
        <v>167</v>
      </c>
      <c r="G176" s="46" t="s">
        <v>168</v>
      </c>
      <c r="H176" s="46" t="s">
        <v>47</v>
      </c>
      <c r="I176" s="46" t="s">
        <v>169</v>
      </c>
      <c r="J176" s="4">
        <v>533</v>
      </c>
      <c r="K176" s="28">
        <v>41046</v>
      </c>
      <c r="L176" s="36" t="s">
        <v>21</v>
      </c>
      <c r="M176" s="46" t="s">
        <v>22</v>
      </c>
      <c r="N176" s="46" t="s">
        <v>16</v>
      </c>
      <c r="O176" s="48">
        <v>1E-3</v>
      </c>
      <c r="P176" s="2"/>
    </row>
    <row r="177" spans="1:16" x14ac:dyDescent="0.25">
      <c r="A177" s="36" t="s">
        <v>419</v>
      </c>
      <c r="B177" s="47" t="s">
        <v>17</v>
      </c>
      <c r="C177" s="46" t="s">
        <v>358</v>
      </c>
      <c r="D177" s="46" t="s">
        <v>112</v>
      </c>
      <c r="E177" s="46" t="s">
        <v>15</v>
      </c>
      <c r="F177" s="46" t="s">
        <v>156</v>
      </c>
      <c r="G177" s="46" t="s">
        <v>420</v>
      </c>
      <c r="H177" s="46" t="s">
        <v>47</v>
      </c>
      <c r="I177" s="46" t="s">
        <v>421</v>
      </c>
      <c r="J177" s="4">
        <v>1614</v>
      </c>
      <c r="K177" s="28">
        <v>42127</v>
      </c>
      <c r="M177" s="46" t="s">
        <v>22</v>
      </c>
      <c r="N177" s="46" t="s">
        <v>16</v>
      </c>
      <c r="O177" s="48">
        <v>1E-3</v>
      </c>
      <c r="P177" s="2">
        <v>0.05</v>
      </c>
    </row>
    <row r="178" spans="1:16" x14ac:dyDescent="0.25">
      <c r="A178" s="36" t="s">
        <v>419</v>
      </c>
      <c r="B178" s="47" t="s">
        <v>17</v>
      </c>
      <c r="C178" s="46" t="s">
        <v>358</v>
      </c>
      <c r="D178" s="46" t="s">
        <v>112</v>
      </c>
      <c r="E178" s="46" t="s">
        <v>15</v>
      </c>
      <c r="F178" s="46" t="s">
        <v>340</v>
      </c>
      <c r="G178" s="46" t="s">
        <v>422</v>
      </c>
      <c r="H178" s="46" t="s">
        <v>47</v>
      </c>
      <c r="I178" s="46" t="s">
        <v>421</v>
      </c>
      <c r="J178" s="4">
        <v>1614</v>
      </c>
      <c r="K178" s="28">
        <v>42127</v>
      </c>
      <c r="M178" s="46" t="s">
        <v>23</v>
      </c>
      <c r="N178" s="46" t="s">
        <v>16</v>
      </c>
      <c r="O178" s="48">
        <v>1E-3</v>
      </c>
      <c r="P178" s="2">
        <v>0.05</v>
      </c>
    </row>
    <row r="179" spans="1:16" x14ac:dyDescent="0.25">
      <c r="A179" s="36" t="s">
        <v>306</v>
      </c>
      <c r="B179" s="47" t="s">
        <v>13</v>
      </c>
      <c r="C179" s="46" t="s">
        <v>0</v>
      </c>
      <c r="D179" s="46" t="s">
        <v>44</v>
      </c>
      <c r="E179" s="46" t="s">
        <v>372</v>
      </c>
      <c r="F179" s="46" t="s">
        <v>307</v>
      </c>
      <c r="G179" s="46" t="s">
        <v>308</v>
      </c>
      <c r="H179" s="46" t="s">
        <v>134</v>
      </c>
      <c r="I179" s="46" t="s">
        <v>309</v>
      </c>
      <c r="J179" s="4">
        <v>1979</v>
      </c>
      <c r="K179" s="28">
        <v>42492</v>
      </c>
      <c r="L179" s="36" t="s">
        <v>21</v>
      </c>
      <c r="M179" s="46" t="s">
        <v>54</v>
      </c>
      <c r="N179" s="46" t="s">
        <v>2</v>
      </c>
      <c r="O179" s="48"/>
      <c r="P179" s="2"/>
    </row>
    <row r="180" spans="1:16" x14ac:dyDescent="0.25">
      <c r="A180" s="36" t="s">
        <v>542</v>
      </c>
      <c r="B180" s="47" t="s">
        <v>17</v>
      </c>
      <c r="C180" s="46" t="s">
        <v>0</v>
      </c>
      <c r="D180" s="46" t="s">
        <v>62</v>
      </c>
      <c r="E180" s="46" t="s">
        <v>15</v>
      </c>
      <c r="F180" s="46" t="s">
        <v>121</v>
      </c>
      <c r="G180" s="46" t="s">
        <v>543</v>
      </c>
      <c r="H180" s="46" t="s">
        <v>47</v>
      </c>
      <c r="I180" s="46" t="s">
        <v>544</v>
      </c>
      <c r="J180" s="4">
        <v>592</v>
      </c>
      <c r="K180" s="28">
        <v>41105</v>
      </c>
      <c r="M180" s="46" t="s">
        <v>22</v>
      </c>
      <c r="N180" s="46" t="s">
        <v>16</v>
      </c>
      <c r="O180" s="48">
        <v>1E-3</v>
      </c>
      <c r="P180" s="2">
        <v>0.05</v>
      </c>
    </row>
    <row r="181" spans="1:16" x14ac:dyDescent="0.25">
      <c r="A181" s="36" t="s">
        <v>542</v>
      </c>
      <c r="B181" s="47" t="s">
        <v>17</v>
      </c>
      <c r="C181" s="46" t="s">
        <v>0</v>
      </c>
      <c r="D181" s="46" t="s">
        <v>62</v>
      </c>
      <c r="E181" s="46" t="s">
        <v>15</v>
      </c>
      <c r="F181" s="46" t="s">
        <v>545</v>
      </c>
      <c r="G181" s="46" t="s">
        <v>546</v>
      </c>
      <c r="H181" s="46" t="s">
        <v>47</v>
      </c>
      <c r="I181" s="46" t="s">
        <v>544</v>
      </c>
      <c r="J181" s="4">
        <v>700</v>
      </c>
      <c r="K181" s="28">
        <v>41213</v>
      </c>
      <c r="M181" s="46" t="s">
        <v>23</v>
      </c>
      <c r="N181" s="46" t="s">
        <v>16</v>
      </c>
      <c r="O181" s="48">
        <v>1E-3</v>
      </c>
      <c r="P181" s="2">
        <v>0.05</v>
      </c>
    </row>
    <row r="182" spans="1:16" x14ac:dyDescent="0.25">
      <c r="A182" s="36" t="s">
        <v>138</v>
      </c>
      <c r="B182" s="47" t="s">
        <v>13</v>
      </c>
      <c r="C182" s="46" t="s">
        <v>139</v>
      </c>
      <c r="D182" s="46" t="s">
        <v>68</v>
      </c>
      <c r="E182" s="46" t="s">
        <v>15</v>
      </c>
      <c r="F182" s="46" t="s">
        <v>140</v>
      </c>
      <c r="G182" s="46" t="s">
        <v>141</v>
      </c>
      <c r="H182" s="46" t="s">
        <v>142</v>
      </c>
      <c r="I182" s="46" t="s">
        <v>143</v>
      </c>
      <c r="J182" s="4">
        <v>608</v>
      </c>
      <c r="K182" s="28">
        <v>41121</v>
      </c>
      <c r="L182" s="36" t="s">
        <v>21</v>
      </c>
      <c r="M182" s="46" t="s">
        <v>54</v>
      </c>
      <c r="N182" s="46" t="s">
        <v>16</v>
      </c>
      <c r="O182" s="48">
        <v>1E-3</v>
      </c>
      <c r="P182" s="2"/>
    </row>
    <row r="183" spans="1:16" x14ac:dyDescent="0.25">
      <c r="A183" s="36" t="s">
        <v>138</v>
      </c>
      <c r="B183" s="47" t="s">
        <v>13</v>
      </c>
      <c r="C183" s="46" t="s">
        <v>139</v>
      </c>
      <c r="D183" s="46" t="s">
        <v>68</v>
      </c>
      <c r="E183" s="46" t="s">
        <v>15</v>
      </c>
      <c r="F183" s="46" t="s">
        <v>144</v>
      </c>
      <c r="G183" s="46" t="s">
        <v>145</v>
      </c>
      <c r="H183" s="46" t="s">
        <v>142</v>
      </c>
      <c r="I183" s="46" t="s">
        <v>143</v>
      </c>
      <c r="J183" s="4">
        <v>1338</v>
      </c>
      <c r="K183" s="28">
        <v>41851</v>
      </c>
      <c r="L183" s="36" t="s">
        <v>21</v>
      </c>
      <c r="M183" s="46" t="s">
        <v>23</v>
      </c>
      <c r="N183" s="46" t="s">
        <v>16</v>
      </c>
      <c r="O183" s="48">
        <v>1E-3</v>
      </c>
      <c r="P183" s="2"/>
    </row>
    <row r="184" spans="1:16" x14ac:dyDescent="0.25">
      <c r="A184" s="36" t="s">
        <v>105</v>
      </c>
      <c r="B184" s="47" t="s">
        <v>13</v>
      </c>
      <c r="C184" s="46" t="s">
        <v>0</v>
      </c>
      <c r="D184" s="46" t="s">
        <v>44</v>
      </c>
      <c r="E184" s="46" t="s">
        <v>15</v>
      </c>
      <c r="F184" s="46" t="s">
        <v>84</v>
      </c>
      <c r="G184" s="46" t="s">
        <v>106</v>
      </c>
      <c r="H184" s="46" t="s">
        <v>47</v>
      </c>
      <c r="I184" s="46" t="s">
        <v>107</v>
      </c>
      <c r="J184" s="4">
        <v>594</v>
      </c>
      <c r="K184" s="28">
        <v>41107</v>
      </c>
      <c r="L184" s="36" t="s">
        <v>21</v>
      </c>
      <c r="M184" s="46" t="s">
        <v>22</v>
      </c>
      <c r="N184" s="46" t="s">
        <v>16</v>
      </c>
      <c r="O184" s="48">
        <v>1E-3</v>
      </c>
      <c r="P184" s="2"/>
    </row>
    <row r="185" spans="1:16" x14ac:dyDescent="0.25">
      <c r="A185" s="36" t="s">
        <v>105</v>
      </c>
      <c r="B185" s="23" t="s">
        <v>13</v>
      </c>
      <c r="C185" s="46" t="s">
        <v>0</v>
      </c>
      <c r="D185" s="46" t="s">
        <v>44</v>
      </c>
      <c r="E185" s="46" t="s">
        <v>15</v>
      </c>
      <c r="F185" s="46" t="s">
        <v>108</v>
      </c>
      <c r="G185" s="46" t="s">
        <v>109</v>
      </c>
      <c r="H185" s="46" t="s">
        <v>47</v>
      </c>
      <c r="I185" s="46" t="s">
        <v>107</v>
      </c>
      <c r="J185" s="4">
        <v>1324</v>
      </c>
      <c r="K185" s="28">
        <v>41837</v>
      </c>
      <c r="L185" s="3" t="s">
        <v>21</v>
      </c>
      <c r="M185" s="46" t="s">
        <v>23</v>
      </c>
      <c r="N185" s="46" t="s">
        <v>16</v>
      </c>
      <c r="O185" s="48">
        <v>1E-3</v>
      </c>
    </row>
    <row r="186" spans="1:16" x14ac:dyDescent="0.25">
      <c r="A186" s="36" t="s">
        <v>105</v>
      </c>
      <c r="B186" s="23" t="s">
        <v>13</v>
      </c>
      <c r="C186" s="46" t="s">
        <v>0</v>
      </c>
      <c r="D186" s="46" t="s">
        <v>44</v>
      </c>
      <c r="E186" s="46" t="s">
        <v>15</v>
      </c>
      <c r="F186" s="46" t="s">
        <v>110</v>
      </c>
      <c r="G186" s="46" t="s">
        <v>111</v>
      </c>
      <c r="H186" s="46" t="s">
        <v>47</v>
      </c>
      <c r="I186" s="46" t="s">
        <v>107</v>
      </c>
      <c r="J186" s="4">
        <v>1324</v>
      </c>
      <c r="K186" s="28">
        <v>41837</v>
      </c>
      <c r="L186" s="3" t="s">
        <v>21</v>
      </c>
      <c r="M186" s="46" t="s">
        <v>24</v>
      </c>
      <c r="N186" s="46" t="s">
        <v>16</v>
      </c>
      <c r="O186" s="48">
        <v>1E-3</v>
      </c>
    </row>
    <row r="187" spans="1:16" x14ac:dyDescent="0.25">
      <c r="A187" s="36" t="s">
        <v>105</v>
      </c>
      <c r="B187" s="23" t="s">
        <v>13</v>
      </c>
      <c r="C187" s="46" t="s">
        <v>358</v>
      </c>
      <c r="D187" s="46" t="s">
        <v>112</v>
      </c>
      <c r="E187" s="46" t="s">
        <v>15</v>
      </c>
      <c r="F187" s="46" t="s">
        <v>110</v>
      </c>
      <c r="G187" s="46" t="s">
        <v>113</v>
      </c>
      <c r="H187" s="46" t="s">
        <v>47</v>
      </c>
      <c r="I187" s="46" t="s">
        <v>107</v>
      </c>
      <c r="J187" s="4">
        <v>1614</v>
      </c>
      <c r="K187" s="28">
        <v>42127</v>
      </c>
      <c r="L187" s="3" t="s">
        <v>21</v>
      </c>
      <c r="M187" s="46" t="s">
        <v>54</v>
      </c>
      <c r="N187" s="46" t="s">
        <v>16</v>
      </c>
      <c r="O187" s="48">
        <v>1E-3</v>
      </c>
    </row>
    <row r="188" spans="1:16" x14ac:dyDescent="0.25">
      <c r="A188" s="36" t="s">
        <v>296</v>
      </c>
      <c r="B188" s="47" t="s">
        <v>13</v>
      </c>
      <c r="C188" s="46" t="s">
        <v>366</v>
      </c>
      <c r="D188" s="46" t="s">
        <v>44</v>
      </c>
      <c r="E188" s="46" t="s">
        <v>297</v>
      </c>
      <c r="F188" s="46" t="s">
        <v>272</v>
      </c>
      <c r="G188" s="46" t="s">
        <v>685</v>
      </c>
      <c r="H188" s="46" t="s">
        <v>82</v>
      </c>
      <c r="I188" s="46" t="s">
        <v>299</v>
      </c>
      <c r="J188" s="4">
        <v>9284</v>
      </c>
      <c r="K188" s="28">
        <v>49797</v>
      </c>
      <c r="L188" s="52" t="s">
        <v>21</v>
      </c>
      <c r="M188" s="46" t="s">
        <v>22</v>
      </c>
      <c r="N188" s="46" t="s">
        <v>671</v>
      </c>
      <c r="O188" s="48"/>
      <c r="P188" s="2"/>
    </row>
    <row r="189" spans="1:16" x14ac:dyDescent="0.25">
      <c r="A189" s="36" t="s">
        <v>537</v>
      </c>
      <c r="B189" s="47" t="s">
        <v>17</v>
      </c>
      <c r="C189" s="46" t="s">
        <v>366</v>
      </c>
      <c r="D189" s="46">
        <v>1</v>
      </c>
      <c r="E189" s="46" t="s">
        <v>15</v>
      </c>
      <c r="F189" s="46" t="s">
        <v>45</v>
      </c>
      <c r="G189" s="46" t="s">
        <v>538</v>
      </c>
      <c r="H189" s="46" t="s">
        <v>539</v>
      </c>
      <c r="I189" s="46" t="s">
        <v>540</v>
      </c>
      <c r="J189" s="4">
        <v>300</v>
      </c>
      <c r="K189" s="28">
        <v>40813</v>
      </c>
      <c r="L189" s="52"/>
      <c r="M189" s="46" t="s">
        <v>24</v>
      </c>
      <c r="N189" s="46" t="s">
        <v>16</v>
      </c>
      <c r="O189" s="48">
        <v>1E-3</v>
      </c>
      <c r="P189" s="2">
        <v>0.05</v>
      </c>
    </row>
    <row r="190" spans="1:16" x14ac:dyDescent="0.25">
      <c r="A190" s="36" t="s">
        <v>395</v>
      </c>
      <c r="B190" s="23" t="s">
        <v>17</v>
      </c>
      <c r="C190" s="46" t="s">
        <v>0</v>
      </c>
      <c r="D190" s="46" t="s">
        <v>56</v>
      </c>
      <c r="E190" s="46" t="s">
        <v>15</v>
      </c>
      <c r="F190" s="46" t="s">
        <v>367</v>
      </c>
      <c r="G190" s="46" t="s">
        <v>396</v>
      </c>
      <c r="H190" s="46" t="s">
        <v>47</v>
      </c>
      <c r="I190" s="46" t="s">
        <v>397</v>
      </c>
      <c r="J190" s="4">
        <v>1127</v>
      </c>
      <c r="K190" s="28">
        <v>41640</v>
      </c>
      <c r="L190" s="3"/>
      <c r="M190" s="46" t="s">
        <v>54</v>
      </c>
      <c r="N190" s="46" t="s">
        <v>16</v>
      </c>
      <c r="O190" s="48">
        <v>1E-3</v>
      </c>
      <c r="P190" s="2">
        <v>0.05</v>
      </c>
    </row>
    <row r="191" spans="1:16" x14ac:dyDescent="0.25">
      <c r="A191" s="36" t="s">
        <v>395</v>
      </c>
      <c r="B191" s="23" t="s">
        <v>17</v>
      </c>
      <c r="C191" s="46" t="s">
        <v>0</v>
      </c>
      <c r="D191" s="46" t="s">
        <v>56</v>
      </c>
      <c r="E191" s="46" t="s">
        <v>15</v>
      </c>
      <c r="F191" s="46" t="s">
        <v>389</v>
      </c>
      <c r="G191" s="46" t="s">
        <v>398</v>
      </c>
      <c r="H191" s="46" t="s">
        <v>47</v>
      </c>
      <c r="I191" s="46" t="s">
        <v>397</v>
      </c>
      <c r="J191" s="4">
        <v>1614</v>
      </c>
      <c r="K191" s="28">
        <v>42127</v>
      </c>
      <c r="L191" s="3"/>
      <c r="M191" s="46" t="s">
        <v>23</v>
      </c>
      <c r="N191" s="46" t="s">
        <v>16</v>
      </c>
      <c r="O191" s="48">
        <v>1E-3</v>
      </c>
      <c r="P191" s="2">
        <v>0.05</v>
      </c>
    </row>
    <row r="192" spans="1:16" x14ac:dyDescent="0.25">
      <c r="A192" s="36" t="s">
        <v>395</v>
      </c>
      <c r="B192" s="23" t="s">
        <v>17</v>
      </c>
      <c r="C192" s="46" t="s">
        <v>0</v>
      </c>
      <c r="D192" s="46" t="s">
        <v>56</v>
      </c>
      <c r="E192" s="46" t="s">
        <v>15</v>
      </c>
      <c r="F192" s="46" t="s">
        <v>110</v>
      </c>
      <c r="G192" s="46" t="s">
        <v>399</v>
      </c>
      <c r="H192" s="46" t="s">
        <v>47</v>
      </c>
      <c r="I192" s="46" t="s">
        <v>397</v>
      </c>
      <c r="J192" s="4">
        <v>1614</v>
      </c>
      <c r="K192" s="28">
        <v>42127</v>
      </c>
      <c r="L192" s="3"/>
      <c r="M192" s="46" t="s">
        <v>22</v>
      </c>
      <c r="N192" s="46" t="s">
        <v>16</v>
      </c>
      <c r="O192" s="48">
        <v>1E-3</v>
      </c>
      <c r="P192" s="2">
        <v>0.05</v>
      </c>
    </row>
    <row r="193" spans="1:16" x14ac:dyDescent="0.25">
      <c r="A193" s="36" t="s">
        <v>395</v>
      </c>
      <c r="B193" s="23" t="s">
        <v>17</v>
      </c>
      <c r="C193" s="46" t="s">
        <v>0</v>
      </c>
      <c r="D193" s="46" t="s">
        <v>56</v>
      </c>
      <c r="E193" s="46" t="s">
        <v>15</v>
      </c>
      <c r="F193" s="46" t="s">
        <v>400</v>
      </c>
      <c r="G193" s="46" t="s">
        <v>401</v>
      </c>
      <c r="H193" s="46" t="s">
        <v>47</v>
      </c>
      <c r="I193" s="46" t="s">
        <v>397</v>
      </c>
      <c r="J193" s="4">
        <v>1492</v>
      </c>
      <c r="K193" s="28">
        <v>42005</v>
      </c>
      <c r="L193" s="3"/>
      <c r="M193" s="46" t="s">
        <v>23</v>
      </c>
      <c r="N193" s="46" t="s">
        <v>16</v>
      </c>
      <c r="O193" s="48">
        <v>1E-3</v>
      </c>
      <c r="P193" s="2">
        <v>0.05</v>
      </c>
    </row>
    <row r="194" spans="1:16" x14ac:dyDescent="0.25">
      <c r="A194" s="36" t="s">
        <v>79</v>
      </c>
      <c r="B194" s="23" t="s">
        <v>17</v>
      </c>
      <c r="C194" s="46" t="s">
        <v>0</v>
      </c>
      <c r="D194" s="46" t="s">
        <v>44</v>
      </c>
      <c r="E194" s="46" t="s">
        <v>297</v>
      </c>
      <c r="F194" s="46" t="s">
        <v>80</v>
      </c>
      <c r="G194" s="46" t="s">
        <v>81</v>
      </c>
      <c r="H194" s="46" t="s">
        <v>82</v>
      </c>
      <c r="I194" s="46" t="s">
        <v>83</v>
      </c>
      <c r="J194" s="4">
        <v>1249</v>
      </c>
      <c r="K194" s="28">
        <v>41762</v>
      </c>
      <c r="L194" s="3"/>
      <c r="M194" s="46" t="s">
        <v>22</v>
      </c>
      <c r="N194" s="46" t="s">
        <v>671</v>
      </c>
      <c r="O194" s="48">
        <v>1E-3</v>
      </c>
      <c r="P194" s="2">
        <v>0.05</v>
      </c>
    </row>
    <row r="195" spans="1:16" x14ac:dyDescent="0.25">
      <c r="A195" s="36" t="s">
        <v>79</v>
      </c>
      <c r="B195" s="23" t="s">
        <v>17</v>
      </c>
      <c r="C195" s="46" t="s">
        <v>0</v>
      </c>
      <c r="D195" s="46" t="s">
        <v>44</v>
      </c>
      <c r="E195" s="46" t="s">
        <v>297</v>
      </c>
      <c r="F195" s="46" t="s">
        <v>84</v>
      </c>
      <c r="G195" s="46" t="s">
        <v>85</v>
      </c>
      <c r="H195" s="46" t="s">
        <v>82</v>
      </c>
      <c r="I195" s="46" t="s">
        <v>83</v>
      </c>
      <c r="J195" s="4">
        <v>1614</v>
      </c>
      <c r="K195" s="28">
        <v>42127</v>
      </c>
      <c r="L195" s="3"/>
      <c r="M195" s="46" t="s">
        <v>23</v>
      </c>
      <c r="N195" s="46" t="s">
        <v>671</v>
      </c>
      <c r="O195" s="48">
        <v>1E-3</v>
      </c>
      <c r="P195" s="2">
        <v>0.05</v>
      </c>
    </row>
    <row r="196" spans="1:16" x14ac:dyDescent="0.25">
      <c r="A196" s="36" t="s">
        <v>470</v>
      </c>
      <c r="B196" s="23" t="s">
        <v>17</v>
      </c>
      <c r="C196" s="46" t="s">
        <v>0</v>
      </c>
      <c r="D196" s="46" t="s">
        <v>44</v>
      </c>
      <c r="E196" s="46" t="s">
        <v>15</v>
      </c>
      <c r="F196" s="46" t="s">
        <v>115</v>
      </c>
      <c r="G196" s="46" t="s">
        <v>471</v>
      </c>
      <c r="H196" s="46" t="s">
        <v>47</v>
      </c>
      <c r="I196" s="46" t="s">
        <v>472</v>
      </c>
      <c r="J196" s="4">
        <v>1249</v>
      </c>
      <c r="K196" s="28">
        <v>41762</v>
      </c>
      <c r="L196" s="3"/>
      <c r="M196" s="46" t="s">
        <v>23</v>
      </c>
      <c r="N196" s="46" t="s">
        <v>16</v>
      </c>
      <c r="O196" s="48">
        <v>1E-3</v>
      </c>
      <c r="P196" s="2">
        <v>0.05</v>
      </c>
    </row>
    <row r="197" spans="1:16" x14ac:dyDescent="0.25">
      <c r="A197" s="36" t="s">
        <v>470</v>
      </c>
      <c r="B197" s="23" t="s">
        <v>17</v>
      </c>
      <c r="C197" s="46" t="s">
        <v>0</v>
      </c>
      <c r="D197" s="46" t="s">
        <v>44</v>
      </c>
      <c r="E197" s="46" t="s">
        <v>15</v>
      </c>
      <c r="F197" s="46" t="s">
        <v>473</v>
      </c>
      <c r="G197" s="46" t="s">
        <v>474</v>
      </c>
      <c r="H197" s="46" t="s">
        <v>47</v>
      </c>
      <c r="I197" s="46" t="s">
        <v>472</v>
      </c>
      <c r="J197" s="4">
        <v>1249</v>
      </c>
      <c r="K197" s="28">
        <v>41762</v>
      </c>
      <c r="L197" s="3"/>
      <c r="M197" s="46" t="s">
        <v>24</v>
      </c>
      <c r="N197" s="46" t="s">
        <v>16</v>
      </c>
      <c r="O197" s="48">
        <v>1E-3</v>
      </c>
      <c r="P197" s="2">
        <v>0.05</v>
      </c>
    </row>
    <row r="198" spans="1:16" x14ac:dyDescent="0.25">
      <c r="A198" s="36" t="s">
        <v>596</v>
      </c>
      <c r="B198" s="23" t="s">
        <v>17</v>
      </c>
      <c r="C198" s="46" t="s">
        <v>139</v>
      </c>
      <c r="D198" s="46" t="s">
        <v>68</v>
      </c>
      <c r="E198" s="46" t="s">
        <v>15</v>
      </c>
      <c r="F198" s="46" t="s">
        <v>384</v>
      </c>
      <c r="G198" s="46" t="s">
        <v>600</v>
      </c>
      <c r="H198" s="46" t="s">
        <v>47</v>
      </c>
      <c r="I198" s="46" t="s">
        <v>598</v>
      </c>
      <c r="J198" s="4">
        <v>792</v>
      </c>
      <c r="K198" s="28">
        <v>41305</v>
      </c>
      <c r="L198" s="3"/>
      <c r="M198" s="46" t="s">
        <v>23</v>
      </c>
      <c r="N198" s="46" t="s">
        <v>16</v>
      </c>
      <c r="O198" s="48">
        <v>1E-3</v>
      </c>
      <c r="P198" s="2">
        <v>0.05</v>
      </c>
    </row>
    <row r="199" spans="1:16" x14ac:dyDescent="0.25">
      <c r="A199" s="36" t="s">
        <v>596</v>
      </c>
      <c r="B199" s="23" t="s">
        <v>17</v>
      </c>
      <c r="C199" s="46" t="s">
        <v>139</v>
      </c>
      <c r="D199" s="46" t="s">
        <v>68</v>
      </c>
      <c r="E199" s="46" t="s">
        <v>15</v>
      </c>
      <c r="F199" s="46" t="s">
        <v>118</v>
      </c>
      <c r="G199" s="46" t="s">
        <v>601</v>
      </c>
      <c r="H199" s="46" t="s">
        <v>47</v>
      </c>
      <c r="I199" s="46" t="s">
        <v>598</v>
      </c>
      <c r="J199" s="4">
        <v>792</v>
      </c>
      <c r="K199" s="28">
        <v>41305</v>
      </c>
      <c r="L199" s="3"/>
      <c r="M199" s="46" t="s">
        <v>24</v>
      </c>
      <c r="N199" s="46" t="s">
        <v>16</v>
      </c>
      <c r="O199" s="48">
        <v>1E-3</v>
      </c>
      <c r="P199" s="2">
        <v>0.05</v>
      </c>
    </row>
    <row r="200" spans="1:16" x14ac:dyDescent="0.25">
      <c r="A200" s="36" t="s">
        <v>596</v>
      </c>
      <c r="B200" s="23" t="s">
        <v>17</v>
      </c>
      <c r="C200" s="46" t="s">
        <v>139</v>
      </c>
      <c r="D200" s="46" t="s">
        <v>68</v>
      </c>
      <c r="E200" s="46" t="s">
        <v>15</v>
      </c>
      <c r="F200" s="46" t="s">
        <v>194</v>
      </c>
      <c r="G200" s="46" t="s">
        <v>602</v>
      </c>
      <c r="H200" s="46" t="s">
        <v>47</v>
      </c>
      <c r="I200" s="46" t="s">
        <v>598</v>
      </c>
      <c r="J200" s="4">
        <v>792</v>
      </c>
      <c r="K200" s="28">
        <v>41305</v>
      </c>
      <c r="L200" s="3"/>
      <c r="M200" s="46" t="s">
        <v>54</v>
      </c>
      <c r="N200" s="46" t="s">
        <v>16</v>
      </c>
      <c r="O200" s="48">
        <v>1E-3</v>
      </c>
      <c r="P200" s="2">
        <v>0.05</v>
      </c>
    </row>
    <row r="201" spans="1:16" x14ac:dyDescent="0.25">
      <c r="A201" s="36" t="s">
        <v>596</v>
      </c>
      <c r="B201" s="23" t="s">
        <v>17</v>
      </c>
      <c r="C201" s="46" t="s">
        <v>139</v>
      </c>
      <c r="D201" s="46" t="s">
        <v>68</v>
      </c>
      <c r="E201" s="46" t="s">
        <v>15</v>
      </c>
      <c r="F201" s="46" t="s">
        <v>603</v>
      </c>
      <c r="G201" s="46" t="s">
        <v>604</v>
      </c>
      <c r="H201" s="46" t="s">
        <v>47</v>
      </c>
      <c r="I201" s="46" t="s">
        <v>598</v>
      </c>
      <c r="J201" s="4">
        <v>792</v>
      </c>
      <c r="K201" s="28">
        <v>41305</v>
      </c>
      <c r="L201" s="3"/>
      <c r="M201" s="46" t="s">
        <v>23</v>
      </c>
      <c r="N201" s="46" t="s">
        <v>16</v>
      </c>
      <c r="O201" s="48">
        <v>1E-3</v>
      </c>
      <c r="P201" s="2">
        <v>0.05</v>
      </c>
    </row>
    <row r="202" spans="1:16" x14ac:dyDescent="0.25">
      <c r="A202" s="36" t="s">
        <v>138</v>
      </c>
      <c r="B202" s="23" t="s">
        <v>13</v>
      </c>
      <c r="C202" s="46" t="s">
        <v>139</v>
      </c>
      <c r="D202" s="46" t="s">
        <v>68</v>
      </c>
      <c r="E202" s="46" t="s">
        <v>15</v>
      </c>
      <c r="F202" s="46" t="s">
        <v>146</v>
      </c>
      <c r="G202" s="46" t="s">
        <v>147</v>
      </c>
      <c r="H202" s="46" t="s">
        <v>142</v>
      </c>
      <c r="I202" s="46" t="s">
        <v>143</v>
      </c>
      <c r="J202" s="4">
        <v>608</v>
      </c>
      <c r="K202" s="28">
        <v>41121</v>
      </c>
      <c r="L202" s="3" t="s">
        <v>21</v>
      </c>
      <c r="M202" s="46" t="s">
        <v>24</v>
      </c>
      <c r="N202" s="46" t="s">
        <v>16</v>
      </c>
      <c r="O202" s="48">
        <v>1E-3</v>
      </c>
      <c r="P202" s="2"/>
    </row>
    <row r="203" spans="1:16" x14ac:dyDescent="0.25">
      <c r="A203" s="36" t="s">
        <v>596</v>
      </c>
      <c r="B203" s="23" t="s">
        <v>17</v>
      </c>
      <c r="C203" s="46" t="s">
        <v>139</v>
      </c>
      <c r="D203" s="46" t="s">
        <v>68</v>
      </c>
      <c r="E203" s="46" t="s">
        <v>15</v>
      </c>
      <c r="F203" s="46" t="s">
        <v>115</v>
      </c>
      <c r="G203" s="46" t="s">
        <v>605</v>
      </c>
      <c r="H203" s="46" t="s">
        <v>47</v>
      </c>
      <c r="I203" s="46" t="s">
        <v>598</v>
      </c>
      <c r="J203" s="4">
        <v>974</v>
      </c>
      <c r="K203" s="28">
        <v>41487</v>
      </c>
      <c r="L203" s="3"/>
      <c r="M203" s="46" t="s">
        <v>24</v>
      </c>
      <c r="N203" s="46" t="s">
        <v>16</v>
      </c>
      <c r="O203" s="48">
        <v>1E-3</v>
      </c>
      <c r="P203" s="2">
        <v>0.05</v>
      </c>
    </row>
    <row r="204" spans="1:16" x14ac:dyDescent="0.25">
      <c r="A204" s="36" t="s">
        <v>596</v>
      </c>
      <c r="B204" s="23" t="s">
        <v>17</v>
      </c>
      <c r="C204" s="46" t="s">
        <v>139</v>
      </c>
      <c r="D204" s="46" t="s">
        <v>68</v>
      </c>
      <c r="E204" s="46" t="s">
        <v>15</v>
      </c>
      <c r="F204" s="46" t="s">
        <v>322</v>
      </c>
      <c r="G204" s="46" t="s">
        <v>606</v>
      </c>
      <c r="H204" s="46" t="s">
        <v>47</v>
      </c>
      <c r="I204" s="46" t="s">
        <v>598</v>
      </c>
      <c r="J204" s="4">
        <v>1339</v>
      </c>
      <c r="K204" s="28">
        <v>41852</v>
      </c>
      <c r="L204" s="3"/>
      <c r="M204" s="46" t="s">
        <v>54</v>
      </c>
      <c r="N204" s="46" t="s">
        <v>16</v>
      </c>
      <c r="O204" s="48">
        <v>1E-3</v>
      </c>
      <c r="P204" s="2">
        <v>0.05</v>
      </c>
    </row>
    <row r="205" spans="1:16" x14ac:dyDescent="0.25">
      <c r="A205" s="36" t="s">
        <v>624</v>
      </c>
      <c r="B205" s="23" t="s">
        <v>17</v>
      </c>
      <c r="C205" s="46" t="s">
        <v>0</v>
      </c>
      <c r="D205" s="46" t="s">
        <v>56</v>
      </c>
      <c r="E205" s="46" t="s">
        <v>15</v>
      </c>
      <c r="F205" s="46" t="s">
        <v>246</v>
      </c>
      <c r="G205" s="46" t="s">
        <v>627</v>
      </c>
      <c r="H205" s="46" t="s">
        <v>47</v>
      </c>
      <c r="I205" s="46" t="s">
        <v>626</v>
      </c>
      <c r="J205" s="4">
        <v>662</v>
      </c>
      <c r="K205" s="28">
        <v>41175</v>
      </c>
      <c r="L205" s="3"/>
      <c r="M205" s="46" t="s">
        <v>23</v>
      </c>
      <c r="N205" s="46" t="s">
        <v>16</v>
      </c>
      <c r="O205" s="48"/>
      <c r="P205" s="2">
        <v>0.05</v>
      </c>
    </row>
    <row r="206" spans="1:16" x14ac:dyDescent="0.25">
      <c r="A206" s="36" t="s">
        <v>624</v>
      </c>
      <c r="B206" s="23" t="s">
        <v>17</v>
      </c>
      <c r="C206" s="46" t="s">
        <v>0</v>
      </c>
      <c r="D206" s="46" t="s">
        <v>56</v>
      </c>
      <c r="E206" s="46" t="s">
        <v>15</v>
      </c>
      <c r="F206" s="46" t="s">
        <v>45</v>
      </c>
      <c r="G206" s="46" t="s">
        <v>625</v>
      </c>
      <c r="H206" s="46" t="s">
        <v>47</v>
      </c>
      <c r="I206" s="46" t="s">
        <v>626</v>
      </c>
      <c r="J206" s="4">
        <v>1392</v>
      </c>
      <c r="K206" s="28">
        <v>41905</v>
      </c>
      <c r="L206" s="3"/>
      <c r="M206" s="46" t="s">
        <v>54</v>
      </c>
      <c r="N206" s="46" t="s">
        <v>16</v>
      </c>
      <c r="O206" s="48"/>
      <c r="P206" s="2">
        <v>0.05</v>
      </c>
    </row>
    <row r="207" spans="1:16" x14ac:dyDescent="0.25">
      <c r="A207" s="36" t="s">
        <v>624</v>
      </c>
      <c r="B207" s="23" t="s">
        <v>17</v>
      </c>
      <c r="C207" s="46" t="s">
        <v>0</v>
      </c>
      <c r="D207" s="46" t="s">
        <v>56</v>
      </c>
      <c r="E207" s="46" t="s">
        <v>15</v>
      </c>
      <c r="F207" s="46" t="s">
        <v>371</v>
      </c>
      <c r="G207" s="46" t="s">
        <v>628</v>
      </c>
      <c r="H207" s="46" t="s">
        <v>47</v>
      </c>
      <c r="I207" s="46" t="s">
        <v>626</v>
      </c>
      <c r="J207" s="4">
        <v>1392</v>
      </c>
      <c r="K207" s="28">
        <v>41905</v>
      </c>
      <c r="L207" s="3"/>
      <c r="M207" s="46" t="s">
        <v>22</v>
      </c>
      <c r="N207" s="46" t="s">
        <v>16</v>
      </c>
      <c r="O207" s="48"/>
      <c r="P207" s="2">
        <v>0.05</v>
      </c>
    </row>
    <row r="208" spans="1:16" x14ac:dyDescent="0.25">
      <c r="A208" s="36" t="s">
        <v>624</v>
      </c>
      <c r="B208" s="23" t="s">
        <v>17</v>
      </c>
      <c r="C208" s="46" t="s">
        <v>0</v>
      </c>
      <c r="D208" s="46" t="s">
        <v>44</v>
      </c>
      <c r="E208" s="46" t="s">
        <v>15</v>
      </c>
      <c r="F208" s="46" t="s">
        <v>151</v>
      </c>
      <c r="G208" s="46" t="s">
        <v>629</v>
      </c>
      <c r="H208" s="46" t="s">
        <v>47</v>
      </c>
      <c r="I208" s="46" t="s">
        <v>626</v>
      </c>
      <c r="J208" s="4">
        <v>1</v>
      </c>
      <c r="K208" s="28">
        <v>40514</v>
      </c>
      <c r="L208" s="3"/>
      <c r="M208" s="46" t="s">
        <v>23</v>
      </c>
      <c r="N208" s="46" t="s">
        <v>16</v>
      </c>
      <c r="O208" s="48"/>
      <c r="P208" s="2">
        <v>0.03</v>
      </c>
    </row>
    <row r="209" spans="1:16" x14ac:dyDescent="0.25">
      <c r="A209" s="36" t="s">
        <v>485</v>
      </c>
      <c r="B209" s="23" t="s">
        <v>17</v>
      </c>
      <c r="C209" s="46" t="s">
        <v>0</v>
      </c>
      <c r="D209" s="46" t="s">
        <v>44</v>
      </c>
      <c r="E209" s="46" t="s">
        <v>15</v>
      </c>
      <c r="F209" s="46" t="s">
        <v>110</v>
      </c>
      <c r="G209" s="46" t="s">
        <v>486</v>
      </c>
      <c r="H209" s="46" t="s">
        <v>47</v>
      </c>
      <c r="I209" s="46" t="s">
        <v>487</v>
      </c>
      <c r="J209" s="4">
        <v>1249</v>
      </c>
      <c r="K209" s="28">
        <v>41762</v>
      </c>
      <c r="L209" s="3"/>
      <c r="M209" s="46" t="s">
        <v>54</v>
      </c>
      <c r="N209" s="46" t="s">
        <v>16</v>
      </c>
      <c r="O209" s="48">
        <v>1E-3</v>
      </c>
      <c r="P209" s="2">
        <v>0.05</v>
      </c>
    </row>
    <row r="210" spans="1:16" x14ac:dyDescent="0.25">
      <c r="A210" s="36" t="s">
        <v>485</v>
      </c>
      <c r="B210" s="23" t="s">
        <v>17</v>
      </c>
      <c r="C210" s="46" t="s">
        <v>0</v>
      </c>
      <c r="D210" s="46" t="s">
        <v>44</v>
      </c>
      <c r="E210" s="46" t="s">
        <v>15</v>
      </c>
      <c r="F210" s="46" t="s">
        <v>45</v>
      </c>
      <c r="G210" s="46" t="s">
        <v>488</v>
      </c>
      <c r="H210" s="46" t="s">
        <v>47</v>
      </c>
      <c r="I210" s="46" t="s">
        <v>487</v>
      </c>
      <c r="J210" s="4">
        <v>1249</v>
      </c>
      <c r="K210" s="28">
        <v>41762</v>
      </c>
      <c r="L210" s="3"/>
      <c r="M210" s="46" t="s">
        <v>22</v>
      </c>
      <c r="N210" s="46" t="s">
        <v>16</v>
      </c>
      <c r="O210" s="48">
        <v>1E-3</v>
      </c>
      <c r="P210" s="2">
        <v>0.05</v>
      </c>
    </row>
    <row r="211" spans="1:16" x14ac:dyDescent="0.25">
      <c r="A211" s="36" t="s">
        <v>485</v>
      </c>
      <c r="B211" s="23" t="s">
        <v>17</v>
      </c>
      <c r="C211" s="46" t="s">
        <v>0</v>
      </c>
      <c r="D211" s="46" t="s">
        <v>44</v>
      </c>
      <c r="E211" s="46" t="s">
        <v>15</v>
      </c>
      <c r="F211" s="46" t="s">
        <v>214</v>
      </c>
      <c r="G211" s="46" t="s">
        <v>489</v>
      </c>
      <c r="H211" s="46" t="s">
        <v>47</v>
      </c>
      <c r="I211" s="46" t="s">
        <v>487</v>
      </c>
      <c r="J211" s="4">
        <v>1249</v>
      </c>
      <c r="K211" s="28">
        <v>41762</v>
      </c>
      <c r="L211" s="3"/>
      <c r="M211" s="46" t="s">
        <v>23</v>
      </c>
      <c r="N211" s="46" t="s">
        <v>16</v>
      </c>
      <c r="O211" s="48">
        <v>1E-3</v>
      </c>
      <c r="P211" s="2">
        <v>0.05</v>
      </c>
    </row>
    <row r="212" spans="1:16" x14ac:dyDescent="0.25">
      <c r="A212" s="36" t="s">
        <v>677</v>
      </c>
      <c r="B212" s="23" t="s">
        <v>13</v>
      </c>
      <c r="C212" s="46" t="s">
        <v>0</v>
      </c>
      <c r="D212" s="46" t="s">
        <v>62</v>
      </c>
      <c r="E212" s="46" t="s">
        <v>63</v>
      </c>
      <c r="F212" s="46" t="s">
        <v>219</v>
      </c>
      <c r="G212" s="46" t="s">
        <v>220</v>
      </c>
      <c r="H212" s="46" t="s">
        <v>221</v>
      </c>
      <c r="I212" s="46" t="s">
        <v>222</v>
      </c>
      <c r="J212" s="4">
        <v>2</v>
      </c>
      <c r="K212" s="28">
        <v>40515</v>
      </c>
      <c r="L212" s="3" t="s">
        <v>21</v>
      </c>
      <c r="M212" s="46" t="s">
        <v>24</v>
      </c>
      <c r="N212" s="46" t="s">
        <v>662</v>
      </c>
      <c r="O212" s="48"/>
      <c r="P212" s="2"/>
    </row>
    <row r="213" spans="1:16" x14ac:dyDescent="0.25">
      <c r="A213" s="36" t="s">
        <v>193</v>
      </c>
      <c r="B213" s="23" t="s">
        <v>13</v>
      </c>
      <c r="C213" s="46" t="s">
        <v>0</v>
      </c>
      <c r="D213" s="46" t="s">
        <v>56</v>
      </c>
      <c r="E213" s="46" t="s">
        <v>15</v>
      </c>
      <c r="F213" s="46" t="s">
        <v>194</v>
      </c>
      <c r="G213" s="46" t="s">
        <v>195</v>
      </c>
      <c r="H213" s="46" t="s">
        <v>47</v>
      </c>
      <c r="I213" s="46" t="s">
        <v>196</v>
      </c>
      <c r="J213" s="4">
        <v>654</v>
      </c>
      <c r="K213" s="28">
        <v>41167</v>
      </c>
      <c r="L213" s="3" t="s">
        <v>21</v>
      </c>
      <c r="M213" s="46" t="s">
        <v>24</v>
      </c>
      <c r="N213" s="46" t="s">
        <v>16</v>
      </c>
      <c r="O213" s="48">
        <v>1E-3</v>
      </c>
      <c r="P213" s="2"/>
    </row>
    <row r="214" spans="1:16" x14ac:dyDescent="0.25">
      <c r="A214" s="36" t="s">
        <v>193</v>
      </c>
      <c r="B214" s="23" t="s">
        <v>13</v>
      </c>
      <c r="C214" s="46" t="s">
        <v>0</v>
      </c>
      <c r="D214" s="46" t="s">
        <v>56</v>
      </c>
      <c r="E214" s="46" t="s">
        <v>15</v>
      </c>
      <c r="F214" s="46" t="s">
        <v>153</v>
      </c>
      <c r="G214" s="46" t="s">
        <v>197</v>
      </c>
      <c r="H214" s="46" t="s">
        <v>47</v>
      </c>
      <c r="I214" s="46" t="s">
        <v>196</v>
      </c>
      <c r="J214" s="4">
        <v>1018</v>
      </c>
      <c r="K214" s="28">
        <v>41531</v>
      </c>
      <c r="L214" s="3" t="s">
        <v>21</v>
      </c>
      <c r="M214" s="46" t="s">
        <v>54</v>
      </c>
      <c r="N214" s="46" t="s">
        <v>16</v>
      </c>
      <c r="O214" s="48">
        <v>1E-3</v>
      </c>
      <c r="P214" s="2"/>
    </row>
    <row r="215" spans="1:16" x14ac:dyDescent="0.25">
      <c r="A215" s="36" t="s">
        <v>193</v>
      </c>
      <c r="B215" s="23" t="s">
        <v>13</v>
      </c>
      <c r="C215" s="46" t="s">
        <v>0</v>
      </c>
      <c r="D215" s="46" t="s">
        <v>56</v>
      </c>
      <c r="E215" s="46" t="s">
        <v>15</v>
      </c>
      <c r="F215" s="46" t="s">
        <v>198</v>
      </c>
      <c r="G215" s="46" t="s">
        <v>199</v>
      </c>
      <c r="H215" s="46" t="s">
        <v>47</v>
      </c>
      <c r="I215" s="46" t="s">
        <v>196</v>
      </c>
      <c r="J215" s="4">
        <v>1018</v>
      </c>
      <c r="K215" s="28">
        <v>41531</v>
      </c>
      <c r="L215" s="3" t="s">
        <v>21</v>
      </c>
      <c r="M215" s="46" t="s">
        <v>22</v>
      </c>
      <c r="N215" s="46" t="s">
        <v>16</v>
      </c>
      <c r="O215" s="48">
        <v>1E-3</v>
      </c>
      <c r="P215" s="2"/>
    </row>
    <row r="216" spans="1:16" x14ac:dyDescent="0.25">
      <c r="A216" s="36" t="s">
        <v>512</v>
      </c>
      <c r="B216" s="23" t="s">
        <v>17</v>
      </c>
      <c r="C216" s="46" t="s">
        <v>358</v>
      </c>
      <c r="D216" s="46" t="s">
        <v>56</v>
      </c>
      <c r="E216" s="46" t="s">
        <v>15</v>
      </c>
      <c r="F216" s="46" t="s">
        <v>258</v>
      </c>
      <c r="G216" s="46" t="s">
        <v>513</v>
      </c>
      <c r="H216" s="46" t="s">
        <v>47</v>
      </c>
      <c r="I216" s="46" t="s">
        <v>514</v>
      </c>
      <c r="J216" s="4">
        <v>1028</v>
      </c>
      <c r="K216" s="28">
        <v>41541</v>
      </c>
      <c r="L216" s="3"/>
      <c r="M216" s="46" t="s">
        <v>23</v>
      </c>
      <c r="N216" s="46" t="s">
        <v>16</v>
      </c>
      <c r="O216" s="48">
        <v>1E-3</v>
      </c>
      <c r="P216" s="2">
        <v>0.05</v>
      </c>
    </row>
    <row r="217" spans="1:16" x14ac:dyDescent="0.25">
      <c r="A217" s="36" t="s">
        <v>519</v>
      </c>
      <c r="B217" s="23" t="s">
        <v>17</v>
      </c>
      <c r="C217" s="46" t="s">
        <v>358</v>
      </c>
      <c r="D217" s="46" t="s">
        <v>56</v>
      </c>
      <c r="E217" s="46" t="s">
        <v>15</v>
      </c>
      <c r="F217" s="46" t="s">
        <v>258</v>
      </c>
      <c r="G217" s="46" t="s">
        <v>688</v>
      </c>
      <c r="H217" s="46" t="s">
        <v>134</v>
      </c>
      <c r="I217" s="46" t="s">
        <v>520</v>
      </c>
      <c r="J217" s="4">
        <v>1028</v>
      </c>
      <c r="K217" s="28">
        <v>41541</v>
      </c>
      <c r="L217" s="3"/>
      <c r="M217" s="46" t="s">
        <v>54</v>
      </c>
      <c r="N217" s="46" t="s">
        <v>16</v>
      </c>
      <c r="O217" s="48">
        <v>1E-3</v>
      </c>
      <c r="P217" s="2">
        <v>0.05</v>
      </c>
    </row>
    <row r="218" spans="1:16" x14ac:dyDescent="0.25">
      <c r="A218" s="36" t="s">
        <v>512</v>
      </c>
      <c r="B218" s="23" t="s">
        <v>17</v>
      </c>
      <c r="C218" s="46" t="s">
        <v>358</v>
      </c>
      <c r="D218" s="46" t="s">
        <v>56</v>
      </c>
      <c r="E218" s="46" t="s">
        <v>15</v>
      </c>
      <c r="F218" s="46" t="s">
        <v>167</v>
      </c>
      <c r="G218" s="46" t="s">
        <v>515</v>
      </c>
      <c r="H218" s="46" t="s">
        <v>47</v>
      </c>
      <c r="I218" s="46" t="s">
        <v>514</v>
      </c>
      <c r="J218" s="4">
        <v>1614</v>
      </c>
      <c r="K218" s="28">
        <v>42127</v>
      </c>
      <c r="L218" s="3"/>
      <c r="M218" s="46" t="s">
        <v>22</v>
      </c>
      <c r="N218" s="46" t="s">
        <v>16</v>
      </c>
      <c r="O218" s="48">
        <v>1E-3</v>
      </c>
      <c r="P218" s="2">
        <v>0.05</v>
      </c>
    </row>
    <row r="219" spans="1:16" x14ac:dyDescent="0.25">
      <c r="A219" s="36" t="s">
        <v>519</v>
      </c>
      <c r="B219" s="23" t="s">
        <v>17</v>
      </c>
      <c r="C219" s="46" t="s">
        <v>358</v>
      </c>
      <c r="D219" s="46" t="s">
        <v>56</v>
      </c>
      <c r="E219" s="46" t="s">
        <v>15</v>
      </c>
      <c r="F219" s="46" t="s">
        <v>167</v>
      </c>
      <c r="G219" s="46" t="s">
        <v>515</v>
      </c>
      <c r="H219" s="46" t="s">
        <v>134</v>
      </c>
      <c r="I219" s="46" t="s">
        <v>520</v>
      </c>
      <c r="J219" s="4">
        <v>1614</v>
      </c>
      <c r="K219" s="28">
        <v>42127</v>
      </c>
      <c r="L219" s="3"/>
      <c r="M219" s="46" t="s">
        <v>22</v>
      </c>
      <c r="N219" s="46" t="s">
        <v>16</v>
      </c>
      <c r="O219" s="48">
        <v>1E-3</v>
      </c>
      <c r="P219" s="2">
        <v>0.05</v>
      </c>
    </row>
    <row r="220" spans="1:16" x14ac:dyDescent="0.25">
      <c r="A220" s="36" t="s">
        <v>512</v>
      </c>
      <c r="B220" s="23" t="s">
        <v>17</v>
      </c>
      <c r="C220" s="46" t="s">
        <v>358</v>
      </c>
      <c r="D220" s="46" t="s">
        <v>112</v>
      </c>
      <c r="E220" s="46" t="s">
        <v>15</v>
      </c>
      <c r="F220" s="46" t="s">
        <v>516</v>
      </c>
      <c r="G220" s="46" t="s">
        <v>517</v>
      </c>
      <c r="H220" s="46" t="s">
        <v>47</v>
      </c>
      <c r="I220" s="46" t="s">
        <v>514</v>
      </c>
      <c r="J220" s="4">
        <v>1583</v>
      </c>
      <c r="K220" s="28">
        <v>42096</v>
      </c>
      <c r="L220" s="3"/>
      <c r="M220" s="46" t="s">
        <v>23</v>
      </c>
      <c r="N220" s="46" t="s">
        <v>16</v>
      </c>
      <c r="O220" s="48">
        <v>1E-3</v>
      </c>
      <c r="P220" s="2">
        <v>0.05</v>
      </c>
    </row>
    <row r="221" spans="1:16" x14ac:dyDescent="0.25">
      <c r="A221" s="36" t="s">
        <v>128</v>
      </c>
      <c r="B221" s="23" t="s">
        <v>13</v>
      </c>
      <c r="C221" s="46" t="s">
        <v>358</v>
      </c>
      <c r="D221" s="46" t="s">
        <v>62</v>
      </c>
      <c r="E221" s="46" t="s">
        <v>15</v>
      </c>
      <c r="F221" s="46" t="s">
        <v>129</v>
      </c>
      <c r="G221" s="46" t="s">
        <v>130</v>
      </c>
      <c r="H221" s="46" t="s">
        <v>47</v>
      </c>
      <c r="I221" s="46" t="s">
        <v>131</v>
      </c>
      <c r="J221" s="4">
        <v>1400</v>
      </c>
      <c r="K221" s="28">
        <v>41913</v>
      </c>
      <c r="L221" s="3" t="s">
        <v>21</v>
      </c>
      <c r="M221" s="46" t="s">
        <v>22</v>
      </c>
      <c r="N221" s="46" t="s">
        <v>16</v>
      </c>
      <c r="O221" s="48">
        <v>1E-3</v>
      </c>
      <c r="P221" s="2"/>
    </row>
    <row r="222" spans="1:16" x14ac:dyDescent="0.25">
      <c r="A222" s="36" t="s">
        <v>564</v>
      </c>
      <c r="B222" s="23" t="s">
        <v>17</v>
      </c>
      <c r="C222" s="46" t="s">
        <v>0</v>
      </c>
      <c r="D222" s="46" t="s">
        <v>44</v>
      </c>
      <c r="E222" s="46" t="s">
        <v>15</v>
      </c>
      <c r="F222" s="46" t="s">
        <v>272</v>
      </c>
      <c r="G222" s="46" t="s">
        <v>567</v>
      </c>
      <c r="H222" s="46" t="s">
        <v>47</v>
      </c>
      <c r="I222" s="46" t="s">
        <v>566</v>
      </c>
      <c r="J222" s="4">
        <v>1046</v>
      </c>
      <c r="K222" s="28">
        <v>41559</v>
      </c>
      <c r="L222" s="3"/>
      <c r="M222" s="46" t="s">
        <v>22</v>
      </c>
      <c r="N222" s="46" t="s">
        <v>16</v>
      </c>
      <c r="O222" s="48">
        <v>1E-3</v>
      </c>
      <c r="P222" s="2">
        <v>0.05</v>
      </c>
    </row>
    <row r="223" spans="1:16" x14ac:dyDescent="0.25">
      <c r="A223" s="36" t="s">
        <v>564</v>
      </c>
      <c r="B223" s="23" t="s">
        <v>17</v>
      </c>
      <c r="C223" s="46" t="s">
        <v>0</v>
      </c>
      <c r="D223" s="46" t="s">
        <v>44</v>
      </c>
      <c r="E223" s="46" t="s">
        <v>15</v>
      </c>
      <c r="F223" s="46" t="s">
        <v>313</v>
      </c>
      <c r="G223" s="46" t="s">
        <v>565</v>
      </c>
      <c r="H223" s="46" t="s">
        <v>47</v>
      </c>
      <c r="I223" s="46" t="s">
        <v>566</v>
      </c>
      <c r="J223" s="4">
        <v>1411</v>
      </c>
      <c r="K223" s="28">
        <v>41924</v>
      </c>
      <c r="L223" s="3"/>
      <c r="M223" s="46" t="s">
        <v>23</v>
      </c>
      <c r="N223" s="46" t="s">
        <v>16</v>
      </c>
      <c r="O223" s="48">
        <v>1E-3</v>
      </c>
      <c r="P223" s="2">
        <v>0.05</v>
      </c>
    </row>
    <row r="224" spans="1:16" x14ac:dyDescent="0.25">
      <c r="A224" s="36" t="s">
        <v>564</v>
      </c>
      <c r="B224" s="23" t="s">
        <v>17</v>
      </c>
      <c r="C224" s="46" t="s">
        <v>358</v>
      </c>
      <c r="D224" s="46" t="s">
        <v>112</v>
      </c>
      <c r="E224" s="46" t="s">
        <v>15</v>
      </c>
      <c r="F224" s="46" t="s">
        <v>568</v>
      </c>
      <c r="G224" s="46" t="s">
        <v>569</v>
      </c>
      <c r="H224" s="46" t="s">
        <v>47</v>
      </c>
      <c r="I224" s="46" t="s">
        <v>566</v>
      </c>
      <c r="J224" s="4">
        <v>1776</v>
      </c>
      <c r="K224" s="28">
        <v>42289</v>
      </c>
      <c r="L224" s="3"/>
      <c r="M224" s="46" t="s">
        <v>23</v>
      </c>
      <c r="N224" s="46" t="s">
        <v>16</v>
      </c>
      <c r="O224" s="48">
        <v>1E-3</v>
      </c>
      <c r="P224" s="2">
        <v>0.05</v>
      </c>
    </row>
    <row r="225" spans="1:16" x14ac:dyDescent="0.25">
      <c r="A225" s="36" t="s">
        <v>465</v>
      </c>
      <c r="B225" s="23" t="s">
        <v>17</v>
      </c>
      <c r="C225" s="46" t="s">
        <v>139</v>
      </c>
      <c r="D225" s="46" t="s">
        <v>68</v>
      </c>
      <c r="E225" s="46" t="s">
        <v>15</v>
      </c>
      <c r="F225" s="46" t="s">
        <v>51</v>
      </c>
      <c r="G225" s="46" t="s">
        <v>466</v>
      </c>
      <c r="H225" s="46" t="s">
        <v>47</v>
      </c>
      <c r="I225" s="46" t="s">
        <v>467</v>
      </c>
      <c r="J225" s="4">
        <v>1002</v>
      </c>
      <c r="K225" s="28">
        <v>41515</v>
      </c>
      <c r="L225" s="3"/>
      <c r="M225" s="46" t="s">
        <v>23</v>
      </c>
      <c r="N225" s="46" t="s">
        <v>16</v>
      </c>
      <c r="O225" s="48">
        <v>1E-3</v>
      </c>
      <c r="P225" s="2">
        <v>0.05</v>
      </c>
    </row>
    <row r="226" spans="1:16" x14ac:dyDescent="0.25">
      <c r="A226" s="36" t="s">
        <v>537</v>
      </c>
      <c r="B226" s="47" t="s">
        <v>17</v>
      </c>
      <c r="C226" s="46" t="s">
        <v>366</v>
      </c>
      <c r="D226" s="46">
        <v>1</v>
      </c>
      <c r="E226" s="46" t="s">
        <v>15</v>
      </c>
      <c r="F226" s="46" t="s">
        <v>364</v>
      </c>
      <c r="G226" s="46" t="s">
        <v>541</v>
      </c>
      <c r="H226" s="46" t="s">
        <v>539</v>
      </c>
      <c r="I226" s="46" t="s">
        <v>540</v>
      </c>
      <c r="J226" s="4">
        <v>2622</v>
      </c>
      <c r="K226" s="28">
        <v>43135</v>
      </c>
      <c r="L226" s="52"/>
      <c r="M226" s="46" t="s">
        <v>54</v>
      </c>
      <c r="N226" s="46" t="s">
        <v>16</v>
      </c>
      <c r="O226" s="48">
        <v>1E-3</v>
      </c>
      <c r="P226" s="2">
        <v>0.05</v>
      </c>
    </row>
    <row r="227" spans="1:16" x14ac:dyDescent="0.25">
      <c r="A227" s="36" t="s">
        <v>521</v>
      </c>
      <c r="B227" s="23" t="s">
        <v>17</v>
      </c>
      <c r="C227" s="46" t="s">
        <v>139</v>
      </c>
      <c r="D227" s="46" t="s">
        <v>62</v>
      </c>
      <c r="E227" s="46" t="s">
        <v>15</v>
      </c>
      <c r="F227" s="46" t="s">
        <v>246</v>
      </c>
      <c r="G227" s="46" t="s">
        <v>522</v>
      </c>
      <c r="H227" s="46" t="s">
        <v>47</v>
      </c>
      <c r="I227" s="46" t="s">
        <v>523</v>
      </c>
      <c r="J227" s="4">
        <v>1249</v>
      </c>
      <c r="K227" s="28">
        <v>41762</v>
      </c>
      <c r="L227" s="3"/>
      <c r="M227" s="46" t="s">
        <v>24</v>
      </c>
      <c r="N227" s="46" t="s">
        <v>16</v>
      </c>
      <c r="O227" s="48">
        <v>1E-3</v>
      </c>
      <c r="P227" s="2">
        <v>0.05</v>
      </c>
    </row>
    <row r="228" spans="1:16" x14ac:dyDescent="0.25">
      <c r="A228" s="36" t="s">
        <v>434</v>
      </c>
      <c r="B228" s="23" t="s">
        <v>17</v>
      </c>
      <c r="C228" s="46" t="s">
        <v>0</v>
      </c>
      <c r="D228" s="46" t="s">
        <v>44</v>
      </c>
      <c r="E228" s="46" t="s">
        <v>15</v>
      </c>
      <c r="F228" s="46" t="s">
        <v>198</v>
      </c>
      <c r="G228" s="46" t="s">
        <v>435</v>
      </c>
      <c r="H228" s="46" t="s">
        <v>47</v>
      </c>
      <c r="I228" s="46" t="s">
        <v>436</v>
      </c>
      <c r="J228" s="4">
        <v>1054</v>
      </c>
      <c r="K228" s="28">
        <v>41567</v>
      </c>
      <c r="L228" s="3"/>
      <c r="M228" s="46" t="s">
        <v>23</v>
      </c>
      <c r="N228" s="46" t="s">
        <v>16</v>
      </c>
      <c r="O228" s="48">
        <v>1E-3</v>
      </c>
      <c r="P228" s="2">
        <v>0.05</v>
      </c>
    </row>
    <row r="229" spans="1:16" x14ac:dyDescent="0.25">
      <c r="A229" s="36" t="s">
        <v>434</v>
      </c>
      <c r="B229" s="23" t="s">
        <v>17</v>
      </c>
      <c r="C229" s="46" t="s">
        <v>0</v>
      </c>
      <c r="D229" s="46" t="s">
        <v>44</v>
      </c>
      <c r="E229" s="46" t="s">
        <v>15</v>
      </c>
      <c r="F229" s="46" t="s">
        <v>383</v>
      </c>
      <c r="G229" s="46" t="s">
        <v>437</v>
      </c>
      <c r="H229" s="46" t="s">
        <v>47</v>
      </c>
      <c r="I229" s="46" t="s">
        <v>436</v>
      </c>
      <c r="J229" s="4">
        <v>1419</v>
      </c>
      <c r="K229" s="28">
        <v>41932</v>
      </c>
      <c r="L229" s="3"/>
      <c r="M229" s="46" t="s">
        <v>22</v>
      </c>
      <c r="N229" s="46" t="s">
        <v>16</v>
      </c>
      <c r="O229" s="46">
        <v>1E-3</v>
      </c>
      <c r="P229" s="2">
        <v>0.05</v>
      </c>
    </row>
    <row r="230" spans="1:16" x14ac:dyDescent="0.25">
      <c r="A230" s="36" t="s">
        <v>434</v>
      </c>
      <c r="B230" s="23" t="s">
        <v>17</v>
      </c>
      <c r="C230" s="46" t="s">
        <v>358</v>
      </c>
      <c r="D230" s="46" t="s">
        <v>112</v>
      </c>
      <c r="E230" s="46" t="s">
        <v>15</v>
      </c>
      <c r="F230" s="46" t="s">
        <v>387</v>
      </c>
      <c r="G230" s="46" t="s">
        <v>438</v>
      </c>
      <c r="H230" s="46" t="s">
        <v>47</v>
      </c>
      <c r="I230" s="46" t="s">
        <v>436</v>
      </c>
      <c r="J230" s="4">
        <v>1614</v>
      </c>
      <c r="K230" s="28">
        <v>42127</v>
      </c>
      <c r="L230" s="3"/>
      <c r="M230" s="46" t="s">
        <v>23</v>
      </c>
      <c r="N230" s="46" t="s">
        <v>16</v>
      </c>
      <c r="O230" s="46">
        <v>1E-3</v>
      </c>
      <c r="P230" s="2">
        <v>0.05</v>
      </c>
    </row>
    <row r="231" spans="1:16" x14ac:dyDescent="0.25">
      <c r="A231" s="36" t="s">
        <v>316</v>
      </c>
      <c r="B231" s="23" t="s">
        <v>13</v>
      </c>
      <c r="C231" s="46" t="s">
        <v>358</v>
      </c>
      <c r="D231" s="46" t="s">
        <v>56</v>
      </c>
      <c r="E231" s="46" t="s">
        <v>15</v>
      </c>
      <c r="F231" s="46" t="s">
        <v>151</v>
      </c>
      <c r="G231" s="46" t="s">
        <v>317</v>
      </c>
      <c r="H231" s="46" t="s">
        <v>47</v>
      </c>
      <c r="I231" s="46" t="s">
        <v>318</v>
      </c>
      <c r="J231" s="4">
        <v>683</v>
      </c>
      <c r="K231" s="28">
        <v>41196</v>
      </c>
      <c r="L231" s="3" t="s">
        <v>21</v>
      </c>
      <c r="M231" s="46" t="s">
        <v>54</v>
      </c>
      <c r="N231" s="46" t="s">
        <v>16</v>
      </c>
      <c r="P231" s="2"/>
    </row>
    <row r="232" spans="1:16" x14ac:dyDescent="0.25">
      <c r="A232" s="36" t="s">
        <v>547</v>
      </c>
      <c r="B232" s="23" t="s">
        <v>17</v>
      </c>
      <c r="C232" s="46" t="s">
        <v>358</v>
      </c>
      <c r="D232" s="46" t="s">
        <v>62</v>
      </c>
      <c r="E232" s="46" t="s">
        <v>15</v>
      </c>
      <c r="F232" s="46" t="s">
        <v>110</v>
      </c>
      <c r="G232" s="46" t="s">
        <v>550</v>
      </c>
      <c r="H232" s="46" t="s">
        <v>47</v>
      </c>
      <c r="I232" s="46" t="s">
        <v>549</v>
      </c>
      <c r="J232" s="4">
        <v>712</v>
      </c>
      <c r="K232" s="28">
        <v>41225</v>
      </c>
      <c r="L232" s="3"/>
      <c r="M232" s="46" t="s">
        <v>23</v>
      </c>
      <c r="N232" s="46" t="s">
        <v>16</v>
      </c>
      <c r="O232" s="48">
        <v>1E-3</v>
      </c>
      <c r="P232" s="2">
        <v>0.05</v>
      </c>
    </row>
    <row r="233" spans="1:16" x14ac:dyDescent="0.25">
      <c r="A233" s="36" t="s">
        <v>547</v>
      </c>
      <c r="B233" s="23" t="s">
        <v>17</v>
      </c>
      <c r="C233" s="46" t="s">
        <v>358</v>
      </c>
      <c r="D233" s="46" t="s">
        <v>62</v>
      </c>
      <c r="E233" s="46" t="s">
        <v>15</v>
      </c>
      <c r="F233" s="46" t="s">
        <v>115</v>
      </c>
      <c r="G233" s="46" t="s">
        <v>551</v>
      </c>
      <c r="H233" s="46" t="s">
        <v>47</v>
      </c>
      <c r="I233" s="46" t="s">
        <v>549</v>
      </c>
      <c r="J233" s="4">
        <v>1430</v>
      </c>
      <c r="K233" s="28">
        <v>41943</v>
      </c>
      <c r="L233" s="3"/>
      <c r="M233" s="46" t="s">
        <v>24</v>
      </c>
      <c r="N233" s="46" t="s">
        <v>16</v>
      </c>
      <c r="O233" s="46">
        <v>1E-3</v>
      </c>
      <c r="P233" s="2">
        <v>0.05</v>
      </c>
    </row>
    <row r="234" spans="1:16" x14ac:dyDescent="0.25">
      <c r="A234" s="36" t="s">
        <v>547</v>
      </c>
      <c r="B234" s="23" t="s">
        <v>17</v>
      </c>
      <c r="C234" s="46" t="s">
        <v>374</v>
      </c>
      <c r="D234" s="46" t="s">
        <v>112</v>
      </c>
      <c r="E234" s="46" t="s">
        <v>15</v>
      </c>
      <c r="F234" s="46" t="s">
        <v>49</v>
      </c>
      <c r="G234" s="46" t="s">
        <v>552</v>
      </c>
      <c r="H234" s="46" t="s">
        <v>47</v>
      </c>
      <c r="I234" s="46" t="s">
        <v>549</v>
      </c>
      <c r="J234" s="4">
        <v>1614</v>
      </c>
      <c r="K234" s="28">
        <v>42127</v>
      </c>
      <c r="L234" s="3"/>
      <c r="M234" s="46" t="s">
        <v>54</v>
      </c>
      <c r="N234" s="46" t="s">
        <v>16</v>
      </c>
      <c r="O234" s="46">
        <v>1E-3</v>
      </c>
      <c r="P234" s="2">
        <v>0.05</v>
      </c>
    </row>
    <row r="235" spans="1:16" x14ac:dyDescent="0.25">
      <c r="A235" s="36" t="s">
        <v>200</v>
      </c>
      <c r="B235" s="23" t="s">
        <v>13</v>
      </c>
      <c r="C235" s="46" t="s">
        <v>0</v>
      </c>
      <c r="D235" s="46" t="s">
        <v>68</v>
      </c>
      <c r="E235" s="46" t="s">
        <v>15</v>
      </c>
      <c r="F235" s="46" t="s">
        <v>201</v>
      </c>
      <c r="G235" s="46" t="s">
        <v>202</v>
      </c>
      <c r="H235" s="46" t="s">
        <v>134</v>
      </c>
      <c r="I235" s="46" t="s">
        <v>203</v>
      </c>
      <c r="J235" s="4">
        <v>1426</v>
      </c>
      <c r="K235" s="28">
        <v>41939</v>
      </c>
      <c r="L235" s="3" t="s">
        <v>21</v>
      </c>
      <c r="M235" s="46" t="s">
        <v>23</v>
      </c>
      <c r="N235" s="46" t="s">
        <v>16</v>
      </c>
      <c r="O235" s="46">
        <v>1E-3</v>
      </c>
      <c r="P235" s="2"/>
    </row>
    <row r="236" spans="1:16" x14ac:dyDescent="0.25">
      <c r="A236" s="36" t="s">
        <v>200</v>
      </c>
      <c r="B236" s="23" t="s">
        <v>13</v>
      </c>
      <c r="C236" s="46" t="s">
        <v>0</v>
      </c>
      <c r="D236" s="46" t="s">
        <v>68</v>
      </c>
      <c r="E236" s="46" t="s">
        <v>15</v>
      </c>
      <c r="F236" s="46" t="s">
        <v>201</v>
      </c>
      <c r="G236" s="46" t="s">
        <v>689</v>
      </c>
      <c r="H236" s="46" t="s">
        <v>134</v>
      </c>
      <c r="I236" s="46" t="s">
        <v>203</v>
      </c>
      <c r="J236" s="4">
        <v>1426</v>
      </c>
      <c r="K236" s="28">
        <v>41939</v>
      </c>
      <c r="L236" s="3" t="s">
        <v>21</v>
      </c>
      <c r="M236" s="46" t="s">
        <v>22</v>
      </c>
      <c r="N236" s="46" t="s">
        <v>16</v>
      </c>
      <c r="O236" s="46">
        <v>1E-3</v>
      </c>
      <c r="P236" s="2"/>
    </row>
    <row r="237" spans="1:16" x14ac:dyDescent="0.25">
      <c r="A237" s="36" t="s">
        <v>423</v>
      </c>
      <c r="B237" s="23" t="s">
        <v>17</v>
      </c>
      <c r="C237" s="46" t="s">
        <v>139</v>
      </c>
      <c r="D237" s="46">
        <v>6</v>
      </c>
      <c r="E237" s="46" t="s">
        <v>15</v>
      </c>
      <c r="F237" s="46" t="s">
        <v>167</v>
      </c>
      <c r="G237" s="46" t="s">
        <v>424</v>
      </c>
      <c r="H237" s="46" t="s">
        <v>47</v>
      </c>
      <c r="I237" s="46" t="s">
        <v>425</v>
      </c>
      <c r="J237" s="4">
        <v>682</v>
      </c>
      <c r="K237" s="28">
        <v>41195</v>
      </c>
      <c r="L237" s="3"/>
      <c r="M237" s="46" t="s">
        <v>24</v>
      </c>
      <c r="N237" s="46" t="s">
        <v>16</v>
      </c>
      <c r="O237" s="46">
        <v>1E-3</v>
      </c>
      <c r="P237" s="2">
        <v>0.05</v>
      </c>
    </row>
    <row r="238" spans="1:16" x14ac:dyDescent="0.25">
      <c r="A238" s="36" t="s">
        <v>337</v>
      </c>
      <c r="B238" s="23" t="s">
        <v>13</v>
      </c>
      <c r="C238" s="46" t="s">
        <v>0</v>
      </c>
      <c r="D238" s="46" t="s">
        <v>44</v>
      </c>
      <c r="E238" s="46" t="s">
        <v>15</v>
      </c>
      <c r="F238" s="46" t="s">
        <v>49</v>
      </c>
      <c r="G238" s="46" t="s">
        <v>338</v>
      </c>
      <c r="H238" s="46" t="s">
        <v>47</v>
      </c>
      <c r="I238" s="46" t="s">
        <v>339</v>
      </c>
      <c r="J238" s="4">
        <v>1430</v>
      </c>
      <c r="K238" s="28">
        <v>41943</v>
      </c>
      <c r="L238" s="3" t="s">
        <v>21</v>
      </c>
      <c r="M238" s="46" t="s">
        <v>54</v>
      </c>
      <c r="N238" s="46" t="s">
        <v>16</v>
      </c>
      <c r="P238" s="2"/>
    </row>
    <row r="239" spans="1:16" x14ac:dyDescent="0.25">
      <c r="A239" s="36" t="s">
        <v>271</v>
      </c>
      <c r="B239" s="23" t="s">
        <v>13</v>
      </c>
      <c r="C239" s="46" t="s">
        <v>0</v>
      </c>
      <c r="D239" s="46" t="s">
        <v>44</v>
      </c>
      <c r="E239" s="46" t="s">
        <v>15</v>
      </c>
      <c r="F239" s="46" t="s">
        <v>272</v>
      </c>
      <c r="G239" s="46" t="s">
        <v>273</v>
      </c>
      <c r="H239" s="46" t="s">
        <v>47</v>
      </c>
      <c r="I239" s="46" t="s">
        <v>274</v>
      </c>
      <c r="J239" s="4">
        <v>1117</v>
      </c>
      <c r="K239" s="28">
        <v>41630</v>
      </c>
      <c r="L239" s="3" t="s">
        <v>21</v>
      </c>
      <c r="M239" s="46" t="s">
        <v>54</v>
      </c>
      <c r="N239" s="46" t="s">
        <v>16</v>
      </c>
      <c r="P239" s="2"/>
    </row>
    <row r="240" spans="1:16" x14ac:dyDescent="0.25">
      <c r="A240" s="36" t="s">
        <v>271</v>
      </c>
      <c r="B240" s="23" t="s">
        <v>13</v>
      </c>
      <c r="C240" s="46" t="s">
        <v>0</v>
      </c>
      <c r="D240" s="46" t="s">
        <v>44</v>
      </c>
      <c r="E240" s="46" t="s">
        <v>15</v>
      </c>
      <c r="F240" s="46" t="s">
        <v>236</v>
      </c>
      <c r="G240" s="46" t="s">
        <v>275</v>
      </c>
      <c r="H240" s="46" t="s">
        <v>47</v>
      </c>
      <c r="I240" s="46" t="s">
        <v>274</v>
      </c>
      <c r="J240" s="4">
        <v>1478</v>
      </c>
      <c r="K240" s="28">
        <v>41991</v>
      </c>
      <c r="L240" s="3" t="s">
        <v>21</v>
      </c>
      <c r="M240" s="46" t="s">
        <v>23</v>
      </c>
      <c r="N240" s="46" t="s">
        <v>16</v>
      </c>
      <c r="P240" s="2"/>
    </row>
    <row r="241" spans="1:16" x14ac:dyDescent="0.25">
      <c r="A241" s="36" t="s">
        <v>288</v>
      </c>
      <c r="B241" s="23" t="s">
        <v>13</v>
      </c>
      <c r="C241" s="46" t="s">
        <v>0</v>
      </c>
      <c r="D241" s="46" t="s">
        <v>56</v>
      </c>
      <c r="E241" s="46" t="s">
        <v>15</v>
      </c>
      <c r="F241" s="46" t="s">
        <v>151</v>
      </c>
      <c r="G241" s="46" t="s">
        <v>289</v>
      </c>
      <c r="H241" s="46" t="s">
        <v>47</v>
      </c>
      <c r="I241" s="46" t="s">
        <v>290</v>
      </c>
      <c r="J241" s="4">
        <v>1103</v>
      </c>
      <c r="K241" s="28">
        <v>41616</v>
      </c>
      <c r="L241" s="3" t="s">
        <v>21</v>
      </c>
      <c r="M241" s="46" t="s">
        <v>24</v>
      </c>
      <c r="N241" s="46" t="s">
        <v>16</v>
      </c>
      <c r="P241" s="2"/>
    </row>
    <row r="242" spans="1:16" x14ac:dyDescent="0.25">
      <c r="A242" s="36" t="s">
        <v>337</v>
      </c>
      <c r="B242" s="23" t="s">
        <v>13</v>
      </c>
      <c r="C242" s="46" t="s">
        <v>0</v>
      </c>
      <c r="D242" s="46" t="s">
        <v>44</v>
      </c>
      <c r="E242" s="46" t="s">
        <v>15</v>
      </c>
      <c r="F242" s="46" t="s">
        <v>340</v>
      </c>
      <c r="G242" s="46" t="s">
        <v>341</v>
      </c>
      <c r="H242" s="46" t="s">
        <v>47</v>
      </c>
      <c r="I242" s="46" t="s">
        <v>339</v>
      </c>
      <c r="J242" s="4">
        <v>699</v>
      </c>
      <c r="K242" s="28">
        <v>41212</v>
      </c>
      <c r="L242" s="3" t="s">
        <v>21</v>
      </c>
      <c r="M242" s="46" t="s">
        <v>22</v>
      </c>
      <c r="N242" s="46" t="s">
        <v>16</v>
      </c>
      <c r="P242" s="2"/>
    </row>
    <row r="243" spans="1:16" x14ac:dyDescent="0.25">
      <c r="A243" s="36" t="s">
        <v>288</v>
      </c>
      <c r="B243" s="23" t="s">
        <v>13</v>
      </c>
      <c r="C243" s="46" t="s">
        <v>0</v>
      </c>
      <c r="D243" s="46" t="s">
        <v>56</v>
      </c>
      <c r="E243" s="46" t="s">
        <v>15</v>
      </c>
      <c r="F243" s="46" t="s">
        <v>291</v>
      </c>
      <c r="G243" s="46" t="s">
        <v>292</v>
      </c>
      <c r="H243" s="46" t="s">
        <v>47</v>
      </c>
      <c r="I243" s="46" t="s">
        <v>290</v>
      </c>
      <c r="J243" s="4">
        <v>1468</v>
      </c>
      <c r="K243" s="28">
        <v>41981</v>
      </c>
      <c r="L243" s="3" t="s">
        <v>21</v>
      </c>
      <c r="M243" s="46" t="s">
        <v>54</v>
      </c>
      <c r="N243" s="46" t="s">
        <v>16</v>
      </c>
      <c r="P243" s="2"/>
    </row>
    <row r="244" spans="1:16" x14ac:dyDescent="0.25">
      <c r="A244" s="36" t="s">
        <v>120</v>
      </c>
      <c r="B244" s="23" t="s">
        <v>13</v>
      </c>
      <c r="C244" s="46" t="s">
        <v>139</v>
      </c>
      <c r="D244" s="46" t="s">
        <v>68</v>
      </c>
      <c r="E244" s="46" t="s">
        <v>15</v>
      </c>
      <c r="F244" s="46" t="s">
        <v>121</v>
      </c>
      <c r="G244" s="46" t="s">
        <v>122</v>
      </c>
      <c r="H244" s="46" t="s">
        <v>47</v>
      </c>
      <c r="I244" s="46" t="s">
        <v>123</v>
      </c>
      <c r="J244" s="4">
        <v>885</v>
      </c>
      <c r="K244" s="28">
        <v>41398</v>
      </c>
      <c r="L244" s="3" t="s">
        <v>21</v>
      </c>
      <c r="M244" s="46" t="s">
        <v>24</v>
      </c>
      <c r="N244" s="46" t="s">
        <v>16</v>
      </c>
      <c r="O244" s="46">
        <v>1E-3</v>
      </c>
      <c r="P244" s="2"/>
    </row>
    <row r="245" spans="1:16" x14ac:dyDescent="0.25">
      <c r="A245" s="36" t="s">
        <v>120</v>
      </c>
      <c r="B245" s="23" t="s">
        <v>13</v>
      </c>
      <c r="C245" s="46" t="s">
        <v>139</v>
      </c>
      <c r="D245" s="46" t="s">
        <v>68</v>
      </c>
      <c r="E245" s="46" t="s">
        <v>15</v>
      </c>
      <c r="F245" s="46" t="s">
        <v>124</v>
      </c>
      <c r="G245" s="46" t="s">
        <v>125</v>
      </c>
      <c r="H245" s="46" t="s">
        <v>47</v>
      </c>
      <c r="I245" s="46" t="s">
        <v>123</v>
      </c>
      <c r="J245" s="4">
        <v>1614</v>
      </c>
      <c r="K245" s="28">
        <v>42127</v>
      </c>
      <c r="L245" s="3" t="s">
        <v>21</v>
      </c>
      <c r="M245" s="46" t="s">
        <v>54</v>
      </c>
      <c r="N245" s="46" t="s">
        <v>16</v>
      </c>
      <c r="O245" s="46">
        <v>1E-3</v>
      </c>
      <c r="P245" s="2"/>
    </row>
    <row r="246" spans="1:16" x14ac:dyDescent="0.25">
      <c r="A246" s="36" t="s">
        <v>120</v>
      </c>
      <c r="B246" s="23" t="s">
        <v>13</v>
      </c>
      <c r="C246" s="46" t="s">
        <v>358</v>
      </c>
      <c r="D246" s="46" t="s">
        <v>112</v>
      </c>
      <c r="E246" s="46" t="s">
        <v>15</v>
      </c>
      <c r="F246" s="46" t="s">
        <v>126</v>
      </c>
      <c r="G246" s="46" t="s">
        <v>127</v>
      </c>
      <c r="H246" s="46" t="s">
        <v>47</v>
      </c>
      <c r="I246" s="46" t="s">
        <v>123</v>
      </c>
      <c r="J246" s="4">
        <v>1979</v>
      </c>
      <c r="K246" s="28">
        <v>42492</v>
      </c>
      <c r="L246" s="3" t="s">
        <v>21</v>
      </c>
      <c r="M246" s="46" t="s">
        <v>23</v>
      </c>
      <c r="N246" s="46" t="s">
        <v>16</v>
      </c>
      <c r="O246" s="46">
        <v>1E-3</v>
      </c>
      <c r="P246" s="2"/>
    </row>
    <row r="247" spans="1:16" x14ac:dyDescent="0.25">
      <c r="A247" s="36" t="s">
        <v>630</v>
      </c>
      <c r="B247" s="23" t="s">
        <v>17</v>
      </c>
      <c r="C247" s="46" t="s">
        <v>0</v>
      </c>
      <c r="D247" s="46" t="s">
        <v>62</v>
      </c>
      <c r="E247" s="46" t="s">
        <v>15</v>
      </c>
      <c r="F247" s="46" t="s">
        <v>412</v>
      </c>
      <c r="G247" s="46" t="s">
        <v>631</v>
      </c>
      <c r="H247" s="46" t="s">
        <v>47</v>
      </c>
      <c r="I247" s="46" t="s">
        <v>632</v>
      </c>
      <c r="J247" s="4">
        <v>1113</v>
      </c>
      <c r="K247" s="28">
        <v>41626</v>
      </c>
      <c r="L247" s="3"/>
      <c r="M247" s="46" t="s">
        <v>54</v>
      </c>
      <c r="N247" s="46" t="s">
        <v>16</v>
      </c>
      <c r="P247" s="2">
        <v>0.03</v>
      </c>
    </row>
    <row r="248" spans="1:16" x14ac:dyDescent="0.25">
      <c r="A248" s="36" t="s">
        <v>630</v>
      </c>
      <c r="B248" s="23" t="s">
        <v>17</v>
      </c>
      <c r="C248" s="46" t="s">
        <v>0</v>
      </c>
      <c r="D248" s="46" t="s">
        <v>62</v>
      </c>
      <c r="E248" s="46" t="s">
        <v>15</v>
      </c>
      <c r="F248" s="46" t="s">
        <v>381</v>
      </c>
      <c r="G248" s="46" t="s">
        <v>633</v>
      </c>
      <c r="H248" s="46" t="s">
        <v>47</v>
      </c>
      <c r="I248" s="46" t="s">
        <v>632</v>
      </c>
      <c r="J248" s="4">
        <v>1479</v>
      </c>
      <c r="K248" s="28">
        <v>41992</v>
      </c>
      <c r="L248" s="3"/>
      <c r="M248" s="46" t="s">
        <v>23</v>
      </c>
      <c r="N248" s="46" t="s">
        <v>16</v>
      </c>
      <c r="P248" s="2">
        <v>0.03</v>
      </c>
    </row>
    <row r="249" spans="1:16" x14ac:dyDescent="0.25">
      <c r="A249" s="36" t="s">
        <v>630</v>
      </c>
      <c r="B249" s="23" t="s">
        <v>17</v>
      </c>
      <c r="C249" s="46" t="s">
        <v>0</v>
      </c>
      <c r="D249" s="46" t="s">
        <v>62</v>
      </c>
      <c r="E249" s="46" t="s">
        <v>15</v>
      </c>
      <c r="F249" s="46" t="s">
        <v>49</v>
      </c>
      <c r="G249" s="46" t="s">
        <v>634</v>
      </c>
      <c r="H249" s="46" t="s">
        <v>47</v>
      </c>
      <c r="I249" s="46" t="s">
        <v>632</v>
      </c>
      <c r="J249" s="4">
        <v>1478</v>
      </c>
      <c r="K249" s="28">
        <v>41991</v>
      </c>
      <c r="L249" s="3"/>
      <c r="M249" s="46" t="s">
        <v>24</v>
      </c>
      <c r="N249" s="46" t="s">
        <v>16</v>
      </c>
      <c r="P249" s="2">
        <v>0.03</v>
      </c>
    </row>
    <row r="250" spans="1:16" x14ac:dyDescent="0.25">
      <c r="A250" s="36" t="s">
        <v>556</v>
      </c>
      <c r="B250" s="23" t="s">
        <v>17</v>
      </c>
      <c r="C250" s="46" t="s">
        <v>0</v>
      </c>
      <c r="D250" s="46" t="s">
        <v>44</v>
      </c>
      <c r="E250" s="46" t="s">
        <v>15</v>
      </c>
      <c r="F250" s="46" t="s">
        <v>110</v>
      </c>
      <c r="G250" s="46" t="s">
        <v>557</v>
      </c>
      <c r="H250" s="46" t="s">
        <v>47</v>
      </c>
      <c r="I250" s="46" t="s">
        <v>558</v>
      </c>
      <c r="J250" s="4">
        <v>931</v>
      </c>
      <c r="K250" s="28">
        <v>41444</v>
      </c>
      <c r="L250" s="3"/>
      <c r="M250" s="46" t="s">
        <v>23</v>
      </c>
      <c r="N250" s="46" t="s">
        <v>16</v>
      </c>
      <c r="O250" s="46">
        <v>1E-3</v>
      </c>
      <c r="P250" s="2">
        <v>0.05</v>
      </c>
    </row>
    <row r="251" spans="1:16" x14ac:dyDescent="0.25">
      <c r="A251" s="36" t="s">
        <v>556</v>
      </c>
      <c r="B251" s="23" t="s">
        <v>17</v>
      </c>
      <c r="C251" s="46" t="s">
        <v>0</v>
      </c>
      <c r="D251" s="46" t="s">
        <v>44</v>
      </c>
      <c r="E251" s="46" t="s">
        <v>15</v>
      </c>
      <c r="F251" s="46" t="s">
        <v>360</v>
      </c>
      <c r="G251" s="46" t="s">
        <v>559</v>
      </c>
      <c r="H251" s="46" t="s">
        <v>47</v>
      </c>
      <c r="I251" s="46" t="s">
        <v>558</v>
      </c>
      <c r="J251" s="4">
        <v>1296</v>
      </c>
      <c r="K251" s="28">
        <v>41809</v>
      </c>
      <c r="L251" s="3"/>
      <c r="M251" s="46" t="s">
        <v>24</v>
      </c>
      <c r="N251" s="46" t="s">
        <v>16</v>
      </c>
      <c r="O251" s="46">
        <v>1E-3</v>
      </c>
      <c r="P251" s="2">
        <v>0.05</v>
      </c>
    </row>
    <row r="252" spans="1:16" x14ac:dyDescent="0.25">
      <c r="A252" s="36" t="s">
        <v>300</v>
      </c>
      <c r="B252" s="23" t="s">
        <v>13</v>
      </c>
      <c r="C252" s="46" t="s">
        <v>0</v>
      </c>
      <c r="D252" s="46" t="s">
        <v>44</v>
      </c>
      <c r="E252" s="46" t="s">
        <v>15</v>
      </c>
      <c r="F252" s="46" t="s">
        <v>301</v>
      </c>
      <c r="G252" s="46" t="s">
        <v>302</v>
      </c>
      <c r="H252" s="46" t="s">
        <v>47</v>
      </c>
      <c r="I252" s="46" t="s">
        <v>303</v>
      </c>
      <c r="J252" s="4">
        <v>1666</v>
      </c>
      <c r="K252" s="28">
        <v>42179</v>
      </c>
      <c r="L252" s="3" t="s">
        <v>21</v>
      </c>
      <c r="M252" s="46" t="s">
        <v>23</v>
      </c>
      <c r="N252" s="46" t="s">
        <v>16</v>
      </c>
      <c r="P252" s="2"/>
    </row>
    <row r="253" spans="1:16" x14ac:dyDescent="0.25">
      <c r="A253" s="36" t="s">
        <v>300</v>
      </c>
      <c r="B253" s="23" t="s">
        <v>13</v>
      </c>
      <c r="C253" s="46" t="s">
        <v>0</v>
      </c>
      <c r="D253" s="46" t="s">
        <v>44</v>
      </c>
      <c r="E253" s="46" t="s">
        <v>15</v>
      </c>
      <c r="F253" s="46" t="s">
        <v>304</v>
      </c>
      <c r="G253" s="46" t="s">
        <v>305</v>
      </c>
      <c r="H253" s="46" t="s">
        <v>47</v>
      </c>
      <c r="I253" s="46" t="s">
        <v>303</v>
      </c>
      <c r="J253" s="4">
        <v>1117</v>
      </c>
      <c r="K253" s="28">
        <v>41630</v>
      </c>
      <c r="L253" s="3" t="s">
        <v>21</v>
      </c>
      <c r="M253" s="46" t="s">
        <v>24</v>
      </c>
      <c r="N253" s="46" t="s">
        <v>16</v>
      </c>
      <c r="P253" s="2"/>
    </row>
    <row r="254" spans="1:16" x14ac:dyDescent="0.25">
      <c r="A254" s="36" t="s">
        <v>589</v>
      </c>
      <c r="B254" s="23" t="s">
        <v>17</v>
      </c>
      <c r="C254" s="46" t="s">
        <v>188</v>
      </c>
      <c r="D254" s="46" t="s">
        <v>56</v>
      </c>
      <c r="E254" s="46" t="s">
        <v>15</v>
      </c>
      <c r="F254" s="46" t="s">
        <v>278</v>
      </c>
      <c r="G254" s="46" t="s">
        <v>590</v>
      </c>
      <c r="H254" s="46" t="s">
        <v>47</v>
      </c>
      <c r="I254" s="46" t="s">
        <v>591</v>
      </c>
      <c r="J254" s="4">
        <v>818</v>
      </c>
      <c r="K254" s="28">
        <v>41331</v>
      </c>
      <c r="L254" s="3"/>
      <c r="M254" s="46" t="s">
        <v>23</v>
      </c>
      <c r="N254" s="46" t="s">
        <v>16</v>
      </c>
      <c r="O254" s="46">
        <v>1E-3</v>
      </c>
      <c r="P254" s="2">
        <v>0.05</v>
      </c>
    </row>
    <row r="255" spans="1:16" x14ac:dyDescent="0.25">
      <c r="A255" s="36" t="s">
        <v>589</v>
      </c>
      <c r="B255" s="23" t="s">
        <v>17</v>
      </c>
      <c r="C255" s="46" t="s">
        <v>188</v>
      </c>
      <c r="D255" s="46" t="s">
        <v>62</v>
      </c>
      <c r="E255" s="46" t="s">
        <v>15</v>
      </c>
      <c r="F255" s="46" t="s">
        <v>278</v>
      </c>
      <c r="G255" s="46" t="s">
        <v>592</v>
      </c>
      <c r="H255" s="46" t="s">
        <v>47</v>
      </c>
      <c r="I255" s="46" t="s">
        <v>591</v>
      </c>
      <c r="J255" s="4">
        <v>818</v>
      </c>
      <c r="K255" s="28">
        <v>41331</v>
      </c>
      <c r="L255" s="3"/>
      <c r="M255" s="46" t="s">
        <v>24</v>
      </c>
      <c r="N255" s="46" t="s">
        <v>16</v>
      </c>
      <c r="O255" s="46">
        <v>1E-3</v>
      </c>
      <c r="P255" s="2">
        <v>0.05</v>
      </c>
    </row>
    <row r="256" spans="1:16" x14ac:dyDescent="0.25">
      <c r="A256" s="36" t="s">
        <v>547</v>
      </c>
      <c r="B256" s="23" t="s">
        <v>17</v>
      </c>
      <c r="C256" s="46" t="s">
        <v>358</v>
      </c>
      <c r="D256" s="46" t="s">
        <v>62</v>
      </c>
      <c r="E256" s="46" t="s">
        <v>15</v>
      </c>
      <c r="F256" s="46" t="s">
        <v>377</v>
      </c>
      <c r="G256" s="46" t="s">
        <v>548</v>
      </c>
      <c r="H256" s="46" t="s">
        <v>47</v>
      </c>
      <c r="I256" s="46" t="s">
        <v>549</v>
      </c>
      <c r="J256" s="4">
        <v>1430</v>
      </c>
      <c r="K256" s="28">
        <v>41943</v>
      </c>
      <c r="L256" s="3"/>
      <c r="M256" s="46" t="s">
        <v>22</v>
      </c>
      <c r="N256" s="46" t="s">
        <v>16</v>
      </c>
      <c r="O256" s="46">
        <v>1E-3</v>
      </c>
      <c r="P256" s="2">
        <v>0.05</v>
      </c>
    </row>
    <row r="257" spans="1:16" x14ac:dyDescent="0.25">
      <c r="A257" s="36" t="s">
        <v>148</v>
      </c>
      <c r="B257" s="23" t="s">
        <v>13</v>
      </c>
      <c r="C257" s="46" t="s">
        <v>139</v>
      </c>
      <c r="D257" s="46" t="s">
        <v>68</v>
      </c>
      <c r="E257" s="46" t="s">
        <v>15</v>
      </c>
      <c r="F257" s="46" t="s">
        <v>110</v>
      </c>
      <c r="G257" s="46" t="s">
        <v>149</v>
      </c>
      <c r="H257" s="46" t="s">
        <v>47</v>
      </c>
      <c r="I257" s="46" t="s">
        <v>150</v>
      </c>
      <c r="J257" s="4">
        <v>1249</v>
      </c>
      <c r="K257" s="28">
        <v>41762</v>
      </c>
      <c r="L257" s="3" t="s">
        <v>21</v>
      </c>
      <c r="M257" s="46" t="s">
        <v>54</v>
      </c>
      <c r="N257" s="46" t="s">
        <v>16</v>
      </c>
      <c r="O257" s="46">
        <v>1E-3</v>
      </c>
      <c r="P257" s="2"/>
    </row>
    <row r="258" spans="1:16" x14ac:dyDescent="0.25">
      <c r="A258" s="36" t="s">
        <v>148</v>
      </c>
      <c r="B258" s="23" t="s">
        <v>13</v>
      </c>
      <c r="C258" s="46" t="s">
        <v>139</v>
      </c>
      <c r="D258" s="46" t="s">
        <v>68</v>
      </c>
      <c r="E258" s="46" t="s">
        <v>15</v>
      </c>
      <c r="F258" s="46" t="s">
        <v>151</v>
      </c>
      <c r="G258" s="46" t="s">
        <v>152</v>
      </c>
      <c r="H258" s="46" t="s">
        <v>47</v>
      </c>
      <c r="I258" s="46" t="s">
        <v>150</v>
      </c>
      <c r="J258" s="4">
        <v>1614</v>
      </c>
      <c r="K258" s="28">
        <v>42127</v>
      </c>
      <c r="L258" s="3" t="s">
        <v>21</v>
      </c>
      <c r="M258" s="46" t="s">
        <v>22</v>
      </c>
      <c r="N258" s="46" t="s">
        <v>16</v>
      </c>
      <c r="O258" s="46">
        <v>1E-3</v>
      </c>
      <c r="P258" s="2"/>
    </row>
    <row r="259" spans="1:16" x14ac:dyDescent="0.25">
      <c r="A259" s="36" t="s">
        <v>148</v>
      </c>
      <c r="B259" s="23" t="s">
        <v>13</v>
      </c>
      <c r="C259" s="46" t="s">
        <v>0</v>
      </c>
      <c r="D259" s="46" t="s">
        <v>44</v>
      </c>
      <c r="E259" s="46" t="s">
        <v>15</v>
      </c>
      <c r="F259" s="46" t="s">
        <v>153</v>
      </c>
      <c r="G259" s="46" t="s">
        <v>154</v>
      </c>
      <c r="H259" s="46" t="s">
        <v>47</v>
      </c>
      <c r="I259" s="46" t="s">
        <v>150</v>
      </c>
      <c r="J259" s="4">
        <v>1614</v>
      </c>
      <c r="K259" s="28">
        <v>42127</v>
      </c>
      <c r="L259" s="3" t="s">
        <v>21</v>
      </c>
      <c r="M259" s="46" t="s">
        <v>23</v>
      </c>
      <c r="N259" s="46" t="s">
        <v>16</v>
      </c>
      <c r="O259" s="46">
        <v>1E-3</v>
      </c>
      <c r="P259" s="2"/>
    </row>
    <row r="260" spans="1:16" x14ac:dyDescent="0.25">
      <c r="A260" s="36" t="s">
        <v>621</v>
      </c>
      <c r="B260" s="23" t="s">
        <v>17</v>
      </c>
      <c r="C260" s="46" t="s">
        <v>188</v>
      </c>
      <c r="D260" s="46">
        <v>3</v>
      </c>
      <c r="E260" s="46" t="s">
        <v>63</v>
      </c>
      <c r="F260" s="46" t="s">
        <v>209</v>
      </c>
      <c r="G260" s="46" t="s">
        <v>622</v>
      </c>
      <c r="H260" s="46" t="s">
        <v>376</v>
      </c>
      <c r="I260" s="46" t="s">
        <v>623</v>
      </c>
      <c r="J260" s="4">
        <v>1</v>
      </c>
      <c r="K260" s="28">
        <v>40514</v>
      </c>
      <c r="L260" s="3"/>
      <c r="M260" s="46" t="s">
        <v>24</v>
      </c>
      <c r="N260" s="46" t="s">
        <v>662</v>
      </c>
      <c r="P260" s="2">
        <v>0.05</v>
      </c>
    </row>
    <row r="261" spans="1:16" x14ac:dyDescent="0.25">
      <c r="A261" s="36" t="s">
        <v>163</v>
      </c>
      <c r="B261" s="23" t="s">
        <v>13</v>
      </c>
      <c r="C261" s="46" t="s">
        <v>139</v>
      </c>
      <c r="D261" s="46" t="s">
        <v>68</v>
      </c>
      <c r="E261" s="46" t="s">
        <v>15</v>
      </c>
      <c r="F261" s="46" t="s">
        <v>51</v>
      </c>
      <c r="G261" s="46" t="s">
        <v>164</v>
      </c>
      <c r="H261" s="46" t="s">
        <v>47</v>
      </c>
      <c r="I261" s="46" t="s">
        <v>165</v>
      </c>
      <c r="J261" s="4">
        <v>518</v>
      </c>
      <c r="K261" s="28">
        <v>41031</v>
      </c>
      <c r="L261" s="3" t="s">
        <v>21</v>
      </c>
      <c r="M261" s="46" t="s">
        <v>54</v>
      </c>
      <c r="N261" s="46" t="s">
        <v>16</v>
      </c>
      <c r="O261" s="46">
        <v>1E-3</v>
      </c>
      <c r="P261" s="2"/>
    </row>
    <row r="262" spans="1:16" x14ac:dyDescent="0.25">
      <c r="A262" s="36" t="s">
        <v>658</v>
      </c>
      <c r="B262" s="23" t="s">
        <v>17</v>
      </c>
      <c r="C262" s="46" t="s">
        <v>366</v>
      </c>
      <c r="D262" s="46">
        <v>1</v>
      </c>
      <c r="E262" s="46" t="s">
        <v>372</v>
      </c>
      <c r="F262" s="46" t="s">
        <v>51</v>
      </c>
      <c r="G262" s="46" t="s">
        <v>659</v>
      </c>
      <c r="H262" s="46" t="s">
        <v>134</v>
      </c>
      <c r="I262" s="46" t="s">
        <v>660</v>
      </c>
      <c r="J262" s="4">
        <v>181</v>
      </c>
      <c r="K262" s="28">
        <v>40694</v>
      </c>
      <c r="L262" s="3"/>
      <c r="M262" s="46" t="s">
        <v>23</v>
      </c>
      <c r="N262" s="46" t="s">
        <v>2</v>
      </c>
      <c r="P262" s="2"/>
    </row>
    <row r="263" spans="1:16" x14ac:dyDescent="0.25">
      <c r="A263" s="36" t="s">
        <v>529</v>
      </c>
      <c r="B263" s="23" t="s">
        <v>17</v>
      </c>
      <c r="C263" s="46" t="s">
        <v>188</v>
      </c>
      <c r="D263" s="46" t="s">
        <v>68</v>
      </c>
      <c r="E263" s="46" t="s">
        <v>15</v>
      </c>
      <c r="F263" s="46" t="s">
        <v>362</v>
      </c>
      <c r="G263" s="46" t="s">
        <v>530</v>
      </c>
      <c r="H263" s="46" t="s">
        <v>47</v>
      </c>
      <c r="I263" s="46" t="s">
        <v>531</v>
      </c>
      <c r="J263" s="4">
        <v>1023</v>
      </c>
      <c r="K263" s="28">
        <v>41536</v>
      </c>
      <c r="L263" s="3"/>
      <c r="M263" s="46" t="s">
        <v>23</v>
      </c>
      <c r="N263" s="46" t="s">
        <v>16</v>
      </c>
      <c r="O263" s="46">
        <v>1E-3</v>
      </c>
      <c r="P263" s="2">
        <v>0.05</v>
      </c>
    </row>
    <row r="264" spans="1:16" x14ac:dyDescent="0.25">
      <c r="A264" s="36" t="s">
        <v>529</v>
      </c>
      <c r="B264" s="23" t="s">
        <v>17</v>
      </c>
      <c r="C264" s="46" t="s">
        <v>188</v>
      </c>
      <c r="D264" s="46" t="s">
        <v>68</v>
      </c>
      <c r="E264" s="46" t="s">
        <v>15</v>
      </c>
      <c r="F264" s="46" t="s">
        <v>246</v>
      </c>
      <c r="G264" s="46" t="s">
        <v>532</v>
      </c>
      <c r="H264" s="46" t="s">
        <v>47</v>
      </c>
      <c r="I264" s="46" t="s">
        <v>531</v>
      </c>
      <c r="J264" s="4">
        <v>1023</v>
      </c>
      <c r="K264" s="28">
        <v>41536</v>
      </c>
      <c r="L264" s="3"/>
      <c r="M264" s="46" t="s">
        <v>24</v>
      </c>
      <c r="N264" s="46" t="s">
        <v>16</v>
      </c>
      <c r="O264" s="46">
        <v>1E-3</v>
      </c>
      <c r="P264" s="2">
        <v>0.05</v>
      </c>
    </row>
    <row r="265" spans="1:16" x14ac:dyDescent="0.25">
      <c r="A265" s="36" t="s">
        <v>475</v>
      </c>
      <c r="B265" s="23" t="s">
        <v>17</v>
      </c>
      <c r="C265" s="46" t="s">
        <v>366</v>
      </c>
      <c r="D265" s="46" t="s">
        <v>44</v>
      </c>
      <c r="E265" s="46" t="s">
        <v>63</v>
      </c>
      <c r="F265" s="46" t="s">
        <v>359</v>
      </c>
      <c r="G265" s="46" t="s">
        <v>476</v>
      </c>
      <c r="H265" s="46" t="s">
        <v>477</v>
      </c>
      <c r="I265" s="46" t="s">
        <v>478</v>
      </c>
      <c r="J265" s="4">
        <v>944</v>
      </c>
      <c r="K265" s="28">
        <v>41457</v>
      </c>
      <c r="L265" s="3"/>
      <c r="M265" s="46" t="s">
        <v>54</v>
      </c>
      <c r="N265" s="46" t="s">
        <v>662</v>
      </c>
      <c r="O265" s="46">
        <v>1E-3</v>
      </c>
      <c r="P265" s="2">
        <v>0.05</v>
      </c>
    </row>
    <row r="266" spans="1:16" x14ac:dyDescent="0.25">
      <c r="A266" s="36" t="s">
        <v>475</v>
      </c>
      <c r="B266" s="23" t="s">
        <v>17</v>
      </c>
      <c r="C266" s="46" t="s">
        <v>139</v>
      </c>
      <c r="D266" s="46" t="s">
        <v>44</v>
      </c>
      <c r="E266" s="46" t="s">
        <v>63</v>
      </c>
      <c r="F266" s="46" t="s">
        <v>359</v>
      </c>
      <c r="G266" s="46" t="s">
        <v>690</v>
      </c>
      <c r="H266" s="46" t="s">
        <v>477</v>
      </c>
      <c r="I266" s="46" t="s">
        <v>478</v>
      </c>
      <c r="J266" s="4">
        <v>944</v>
      </c>
      <c r="K266" s="28">
        <v>41457</v>
      </c>
      <c r="L266" s="3"/>
      <c r="M266" s="46" t="s">
        <v>22</v>
      </c>
      <c r="N266" s="46" t="s">
        <v>662</v>
      </c>
      <c r="O266" s="46">
        <v>1E-3</v>
      </c>
      <c r="P266" s="2">
        <v>0.05</v>
      </c>
    </row>
  </sheetData>
  <autoFilter ref="A1:P266" xr:uid="{00000000-0009-0000-0000-000009000000}">
    <sortState xmlns:xlrd2="http://schemas.microsoft.com/office/spreadsheetml/2017/richdata2" ref="A11:P188">
      <sortCondition ref="K1:K266"/>
    </sortState>
  </autoFilter>
  <sortState xmlns:xlrd2="http://schemas.microsoft.com/office/spreadsheetml/2017/richdata2" ref="A2:P266">
    <sortCondition ref="G2:G266"/>
  </sortState>
  <phoneticPr fontId="3" type="noConversion"/>
  <pageMargins left="0.7" right="0.7" top="0.75" bottom="0.75" header="0.3" footer="0.3"/>
  <pageSetup orientation="portrait" r:id="rId1"/>
  <headerFooter>
    <oddFooter>&amp;L&amp;1#&amp;"Calibri"&amp;10&amp;K000000Internal</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tabColor rgb="FF92D050"/>
  </sheetPr>
  <dimension ref="A1:R16"/>
  <sheetViews>
    <sheetView workbookViewId="0">
      <selection activeCell="E22" sqref="E22"/>
    </sheetView>
  </sheetViews>
  <sheetFormatPr defaultColWidth="8.81640625" defaultRowHeight="12.5" x14ac:dyDescent="0.25"/>
  <cols>
    <col min="1" max="1" width="33.1796875" bestFit="1" customWidth="1"/>
    <col min="2" max="2" width="17.453125" bestFit="1" customWidth="1"/>
    <col min="3" max="3" width="7" bestFit="1" customWidth="1"/>
    <col min="4" max="4" width="10.1796875" bestFit="1" customWidth="1"/>
    <col min="5" max="6" width="5" bestFit="1" customWidth="1"/>
    <col min="7" max="7" width="8.453125" customWidth="1"/>
    <col min="8" max="8" width="14.36328125" bestFit="1" customWidth="1"/>
    <col min="9" max="9" width="7" bestFit="1" customWidth="1"/>
    <col min="10" max="10" width="5" bestFit="1" customWidth="1"/>
    <col min="11" max="11" width="10.1796875" bestFit="1" customWidth="1"/>
    <col min="12" max="12" width="18.6328125" bestFit="1" customWidth="1"/>
    <col min="13" max="13" width="8.6328125" bestFit="1" customWidth="1"/>
    <col min="14" max="14" width="6.6328125" bestFit="1" customWidth="1"/>
    <col min="15" max="15" width="9.453125" customWidth="1"/>
    <col min="17" max="17" width="9.1796875" style="52"/>
  </cols>
  <sheetData>
    <row r="1" spans="1:18" s="52" customFormat="1" ht="27.75" customHeight="1" x14ac:dyDescent="0.25">
      <c r="A1" s="26" t="s">
        <v>28</v>
      </c>
      <c r="B1" s="27" t="s">
        <v>29</v>
      </c>
      <c r="C1" s="27" t="s">
        <v>30</v>
      </c>
      <c r="D1" s="27" t="s">
        <v>31</v>
      </c>
      <c r="E1" s="27" t="s">
        <v>32</v>
      </c>
      <c r="F1" s="27" t="s">
        <v>33</v>
      </c>
      <c r="G1" s="27" t="s">
        <v>34</v>
      </c>
      <c r="H1" s="27" t="s">
        <v>35</v>
      </c>
      <c r="I1" s="27" t="s">
        <v>36</v>
      </c>
      <c r="J1" s="27" t="s">
        <v>37</v>
      </c>
      <c r="K1" s="27" t="s">
        <v>38</v>
      </c>
      <c r="L1" s="27" t="s">
        <v>39</v>
      </c>
      <c r="M1" s="27" t="s">
        <v>40</v>
      </c>
      <c r="N1" s="27" t="s">
        <v>41</v>
      </c>
      <c r="O1" s="27" t="s">
        <v>42</v>
      </c>
      <c r="P1" s="27" t="s">
        <v>680</v>
      </c>
    </row>
    <row r="2" spans="1:18" s="52" customFormat="1" x14ac:dyDescent="0.25">
      <c r="A2" s="52" t="s">
        <v>241</v>
      </c>
      <c r="B2" s="47" t="s">
        <v>13</v>
      </c>
      <c r="C2" s="46" t="s">
        <v>366</v>
      </c>
      <c r="D2" s="46" t="s">
        <v>56</v>
      </c>
      <c r="E2" s="46" t="s">
        <v>15</v>
      </c>
      <c r="F2" s="46" t="s">
        <v>246</v>
      </c>
      <c r="G2" s="46" t="s">
        <v>247</v>
      </c>
      <c r="H2" s="46" t="s">
        <v>47</v>
      </c>
      <c r="I2" s="46" t="s">
        <v>243</v>
      </c>
      <c r="J2" s="4">
        <v>792</v>
      </c>
      <c r="K2" s="28">
        <v>41305</v>
      </c>
      <c r="L2" s="52" t="s">
        <v>21</v>
      </c>
      <c r="M2" s="46" t="s">
        <v>54</v>
      </c>
      <c r="N2" s="46" t="s">
        <v>16</v>
      </c>
      <c r="O2" s="48"/>
      <c r="P2" s="2"/>
      <c r="Q2" s="52">
        <v>1139.229730608648</v>
      </c>
      <c r="R2" s="52" t="s">
        <v>701</v>
      </c>
    </row>
    <row r="3" spans="1:18" s="52" customFormat="1" x14ac:dyDescent="0.25">
      <c r="A3" s="52" t="s">
        <v>208</v>
      </c>
      <c r="B3" s="47" t="s">
        <v>13</v>
      </c>
      <c r="C3" s="46" t="s">
        <v>366</v>
      </c>
      <c r="D3" s="46">
        <v>3</v>
      </c>
      <c r="E3" s="46" t="s">
        <v>63</v>
      </c>
      <c r="F3" s="46" t="s">
        <v>209</v>
      </c>
      <c r="G3" s="46" t="s">
        <v>210</v>
      </c>
      <c r="H3" s="46" t="s">
        <v>211</v>
      </c>
      <c r="I3" s="46" t="s">
        <v>212</v>
      </c>
      <c r="J3" s="4">
        <v>1015</v>
      </c>
      <c r="K3" s="28">
        <v>41528</v>
      </c>
      <c r="L3" s="52" t="s">
        <v>21</v>
      </c>
      <c r="M3" s="46" t="s">
        <v>54</v>
      </c>
      <c r="N3" s="46" t="s">
        <v>662</v>
      </c>
      <c r="O3" s="48"/>
      <c r="P3" s="2"/>
      <c r="Q3" s="52">
        <v>2273.8212834826186</v>
      </c>
    </row>
    <row r="4" spans="1:18" s="52" customFormat="1" x14ac:dyDescent="0.25">
      <c r="A4" s="52" t="s">
        <v>61</v>
      </c>
      <c r="B4" s="47" t="s">
        <v>13</v>
      </c>
      <c r="C4" s="46" t="s">
        <v>366</v>
      </c>
      <c r="D4" s="46">
        <v>3</v>
      </c>
      <c r="E4" s="46" t="s">
        <v>63</v>
      </c>
      <c r="F4" s="46">
        <v>100</v>
      </c>
      <c r="G4" s="46" t="s">
        <v>64</v>
      </c>
      <c r="H4" s="46" t="s">
        <v>65</v>
      </c>
      <c r="I4" s="46" t="s">
        <v>66</v>
      </c>
      <c r="J4" s="4">
        <v>1249</v>
      </c>
      <c r="K4" s="28">
        <v>41762</v>
      </c>
      <c r="L4" s="52" t="s">
        <v>21</v>
      </c>
      <c r="M4" s="46" t="s">
        <v>23</v>
      </c>
      <c r="N4" s="46" t="s">
        <v>662</v>
      </c>
      <c r="O4" s="48">
        <v>1E-3</v>
      </c>
      <c r="P4" s="2"/>
      <c r="Q4" s="52">
        <v>153.52234745984097</v>
      </c>
    </row>
    <row r="5" spans="1:18" s="52" customFormat="1" x14ac:dyDescent="0.25">
      <c r="A5" s="52" t="s">
        <v>132</v>
      </c>
      <c r="B5" s="47" t="s">
        <v>13</v>
      </c>
      <c r="C5" s="46" t="s">
        <v>366</v>
      </c>
      <c r="D5" s="46" t="s">
        <v>68</v>
      </c>
      <c r="E5" s="46" t="s">
        <v>372</v>
      </c>
      <c r="F5" s="46" t="s">
        <v>136</v>
      </c>
      <c r="G5" s="46" t="s">
        <v>137</v>
      </c>
      <c r="H5" s="46" t="s">
        <v>134</v>
      </c>
      <c r="I5" s="46" t="s">
        <v>135</v>
      </c>
      <c r="J5" s="4">
        <v>1313</v>
      </c>
      <c r="K5" s="28">
        <v>41826</v>
      </c>
      <c r="L5" s="52" t="s">
        <v>21</v>
      </c>
      <c r="M5" s="46" t="s">
        <v>24</v>
      </c>
      <c r="N5" s="46" t="s">
        <v>2</v>
      </c>
      <c r="O5" s="48">
        <v>1E-3</v>
      </c>
      <c r="P5" s="2"/>
      <c r="Q5" s="52">
        <v>213.5598015959402</v>
      </c>
    </row>
    <row r="6" spans="1:18" s="52" customFormat="1" x14ac:dyDescent="0.25">
      <c r="A6" s="52" t="s">
        <v>324</v>
      </c>
      <c r="B6" s="47" t="s">
        <v>13</v>
      </c>
      <c r="C6" s="46" t="s">
        <v>366</v>
      </c>
      <c r="D6" s="46" t="s">
        <v>68</v>
      </c>
      <c r="E6" s="46" t="s">
        <v>15</v>
      </c>
      <c r="F6" s="46" t="s">
        <v>329</v>
      </c>
      <c r="G6" s="56" t="s">
        <v>694</v>
      </c>
      <c r="H6" s="46" t="s">
        <v>47</v>
      </c>
      <c r="I6" s="46" t="s">
        <v>327</v>
      </c>
      <c r="J6" s="4">
        <v>1479</v>
      </c>
      <c r="K6" s="28">
        <v>41992</v>
      </c>
      <c r="L6" s="52" t="s">
        <v>21</v>
      </c>
      <c r="M6" s="46" t="s">
        <v>54</v>
      </c>
      <c r="N6" s="46" t="s">
        <v>16</v>
      </c>
      <c r="O6" s="48"/>
      <c r="P6" s="2"/>
      <c r="Q6" s="52">
        <v>210.18532826505691</v>
      </c>
    </row>
    <row r="7" spans="1:18" s="52" customFormat="1" x14ac:dyDescent="0.25">
      <c r="A7" s="52" t="s">
        <v>296</v>
      </c>
      <c r="B7" s="47" t="s">
        <v>13</v>
      </c>
      <c r="C7" s="46" t="s">
        <v>366</v>
      </c>
      <c r="D7" s="46" t="s">
        <v>44</v>
      </c>
      <c r="E7" s="46" t="s">
        <v>297</v>
      </c>
      <c r="F7" s="46" t="s">
        <v>272</v>
      </c>
      <c r="G7" s="46" t="s">
        <v>298</v>
      </c>
      <c r="H7" s="46" t="s">
        <v>82</v>
      </c>
      <c r="I7" s="46" t="s">
        <v>299</v>
      </c>
      <c r="J7" s="4">
        <v>9284</v>
      </c>
      <c r="K7" s="28">
        <v>49797</v>
      </c>
      <c r="L7" s="52" t="s">
        <v>21</v>
      </c>
      <c r="M7" s="46" t="s">
        <v>23</v>
      </c>
      <c r="N7" s="46" t="s">
        <v>671</v>
      </c>
      <c r="O7" s="48"/>
      <c r="P7" s="2"/>
      <c r="Q7" s="52">
        <v>129.53049722224819</v>
      </c>
    </row>
    <row r="8" spans="1:18" s="52" customFormat="1" x14ac:dyDescent="0.25">
      <c r="A8" s="52" t="s">
        <v>296</v>
      </c>
      <c r="B8" s="47" t="s">
        <v>13</v>
      </c>
      <c r="C8" s="46" t="s">
        <v>366</v>
      </c>
      <c r="D8" s="46" t="s">
        <v>44</v>
      </c>
      <c r="E8" s="46" t="s">
        <v>297</v>
      </c>
      <c r="F8" s="46" t="s">
        <v>272</v>
      </c>
      <c r="G8" s="46" t="s">
        <v>685</v>
      </c>
      <c r="H8" s="46" t="s">
        <v>82</v>
      </c>
      <c r="I8" s="46" t="s">
        <v>299</v>
      </c>
      <c r="J8" s="4">
        <v>9284</v>
      </c>
      <c r="K8" s="28">
        <v>49797</v>
      </c>
      <c r="L8" s="52" t="s">
        <v>21</v>
      </c>
      <c r="M8" s="46" t="s">
        <v>22</v>
      </c>
      <c r="N8" s="46" t="s">
        <v>671</v>
      </c>
      <c r="O8" s="48"/>
      <c r="P8" s="2"/>
      <c r="Q8" s="52">
        <v>129.74493692281109</v>
      </c>
    </row>
    <row r="10" spans="1:18" s="52" customFormat="1" x14ac:dyDescent="0.25">
      <c r="A10" s="52" t="s">
        <v>537</v>
      </c>
      <c r="B10" s="47" t="s">
        <v>17</v>
      </c>
      <c r="C10" s="46" t="s">
        <v>366</v>
      </c>
      <c r="D10" s="46">
        <v>1</v>
      </c>
      <c r="E10" s="46" t="s">
        <v>15</v>
      </c>
      <c r="F10" s="46" t="s">
        <v>45</v>
      </c>
      <c r="G10" s="46" t="s">
        <v>538</v>
      </c>
      <c r="H10" s="46" t="s">
        <v>539</v>
      </c>
      <c r="I10" s="46" t="s">
        <v>540</v>
      </c>
      <c r="J10" s="4">
        <v>300</v>
      </c>
      <c r="K10" s="28">
        <v>40813</v>
      </c>
      <c r="M10" s="46" t="s">
        <v>24</v>
      </c>
      <c r="N10" s="46" t="s">
        <v>16</v>
      </c>
      <c r="O10" s="48">
        <v>1E-3</v>
      </c>
      <c r="P10" s="2">
        <v>0.05</v>
      </c>
      <c r="Q10" s="52">
        <v>614.83310819620829</v>
      </c>
      <c r="R10" s="52" t="s">
        <v>702</v>
      </c>
    </row>
    <row r="11" spans="1:18" s="52" customFormat="1" x14ac:dyDescent="0.25">
      <c r="A11" s="52" t="s">
        <v>537</v>
      </c>
      <c r="B11" s="47" t="s">
        <v>17</v>
      </c>
      <c r="C11" s="46" t="s">
        <v>366</v>
      </c>
      <c r="D11" s="46">
        <v>1</v>
      </c>
      <c r="E11" s="46" t="s">
        <v>15</v>
      </c>
      <c r="F11" s="46" t="s">
        <v>364</v>
      </c>
      <c r="G11" s="46" t="s">
        <v>541</v>
      </c>
      <c r="H11" s="46" t="s">
        <v>539</v>
      </c>
      <c r="I11" s="46" t="s">
        <v>540</v>
      </c>
      <c r="J11" s="4">
        <v>2622</v>
      </c>
      <c r="K11" s="28">
        <v>43135</v>
      </c>
      <c r="M11" s="46" t="s">
        <v>54</v>
      </c>
      <c r="N11" s="46" t="s">
        <v>16</v>
      </c>
      <c r="O11" s="48">
        <v>1E-3</v>
      </c>
      <c r="P11" s="2">
        <v>0.05</v>
      </c>
      <c r="Q11" s="52">
        <v>269.35884206513288</v>
      </c>
    </row>
    <row r="12" spans="1:18" s="52" customFormat="1" x14ac:dyDescent="0.25">
      <c r="A12" s="52" t="s">
        <v>658</v>
      </c>
      <c r="B12" s="23" t="s">
        <v>17</v>
      </c>
      <c r="C12" s="46" t="s">
        <v>366</v>
      </c>
      <c r="D12" s="46">
        <v>1</v>
      </c>
      <c r="E12" s="46" t="s">
        <v>372</v>
      </c>
      <c r="F12" s="46" t="s">
        <v>51</v>
      </c>
      <c r="G12" s="46" t="s">
        <v>659</v>
      </c>
      <c r="H12" s="46" t="s">
        <v>134</v>
      </c>
      <c r="I12" s="46" t="s">
        <v>660</v>
      </c>
      <c r="J12" s="4">
        <v>181</v>
      </c>
      <c r="K12" s="28">
        <v>40694</v>
      </c>
      <c r="L12" s="3"/>
      <c r="M12" s="46" t="s">
        <v>23</v>
      </c>
      <c r="N12" s="46" t="s">
        <v>2</v>
      </c>
      <c r="O12" s="46"/>
      <c r="P12" s="2"/>
      <c r="Q12" s="52">
        <v>72.138591956835853</v>
      </c>
    </row>
    <row r="13" spans="1:18" s="52" customFormat="1" x14ac:dyDescent="0.25">
      <c r="A13" s="52" t="s">
        <v>475</v>
      </c>
      <c r="B13" s="23" t="s">
        <v>17</v>
      </c>
      <c r="C13" s="46" t="s">
        <v>366</v>
      </c>
      <c r="D13" s="46" t="s">
        <v>44</v>
      </c>
      <c r="E13" s="46" t="s">
        <v>63</v>
      </c>
      <c r="F13" s="46" t="s">
        <v>359</v>
      </c>
      <c r="G13" s="46" t="s">
        <v>476</v>
      </c>
      <c r="H13" s="46" t="s">
        <v>477</v>
      </c>
      <c r="I13" s="46" t="s">
        <v>478</v>
      </c>
      <c r="J13" s="4">
        <v>944</v>
      </c>
      <c r="K13" s="28">
        <v>41457</v>
      </c>
      <c r="L13" s="3"/>
      <c r="M13" s="46" t="s">
        <v>54</v>
      </c>
      <c r="N13" s="46" t="s">
        <v>662</v>
      </c>
      <c r="O13" s="46">
        <v>1E-3</v>
      </c>
      <c r="P13" s="2">
        <v>0.05</v>
      </c>
      <c r="Q13" s="52">
        <v>192.48095014735321</v>
      </c>
    </row>
    <row r="16" spans="1:18" x14ac:dyDescent="0.25">
      <c r="A16" s="52" t="s">
        <v>703</v>
      </c>
      <c r="B16" s="52" t="s">
        <v>537</v>
      </c>
      <c r="C16" s="46" t="s">
        <v>538</v>
      </c>
      <c r="D16">
        <f>510/Q11</f>
        <v>1.8933850327314607</v>
      </c>
    </row>
  </sheetData>
  <phoneticPr fontId="3" type="noConversion"/>
  <pageMargins left="0.7" right="0.7" top="0.75" bottom="0.75" header="0.3" footer="0.3"/>
  <pageSetup orientation="portrait" r:id="rId1"/>
  <headerFooter>
    <oddFooter>&amp;L&amp;1#&amp;"Calibri"&amp;10&amp;K000000Internal</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FF0000"/>
  </sheetPr>
  <dimension ref="A1:H125"/>
  <sheetViews>
    <sheetView zoomScale="85" zoomScaleNormal="85" workbookViewId="0">
      <selection activeCell="M22" sqref="M22"/>
    </sheetView>
  </sheetViews>
  <sheetFormatPr defaultColWidth="8.81640625" defaultRowHeight="12.5" x14ac:dyDescent="0.25"/>
  <cols>
    <col min="8" max="8" width="9.1796875" style="52"/>
  </cols>
  <sheetData>
    <row r="1" spans="1:8" ht="13" x14ac:dyDescent="0.3">
      <c r="A1" s="25" t="s">
        <v>25</v>
      </c>
      <c r="B1" s="25" t="s">
        <v>26</v>
      </c>
      <c r="C1" s="1"/>
      <c r="D1" s="25" t="s">
        <v>27</v>
      </c>
      <c r="E1" s="25" t="s">
        <v>26</v>
      </c>
      <c r="F1" s="52"/>
      <c r="G1" s="25" t="s">
        <v>14</v>
      </c>
      <c r="H1" s="59"/>
    </row>
    <row r="2" spans="1:8" x14ac:dyDescent="0.25">
      <c r="A2" s="46" t="s">
        <v>428</v>
      </c>
      <c r="B2" s="52">
        <v>2</v>
      </c>
      <c r="C2" s="52"/>
      <c r="D2" s="46" t="s">
        <v>256</v>
      </c>
      <c r="E2" s="52">
        <v>1</v>
      </c>
      <c r="F2" s="52"/>
      <c r="G2" s="46" t="s">
        <v>63</v>
      </c>
      <c r="H2" s="46"/>
    </row>
    <row r="3" spans="1:8" x14ac:dyDescent="0.25">
      <c r="A3" s="56" t="s">
        <v>684</v>
      </c>
      <c r="B3" s="52">
        <v>2</v>
      </c>
      <c r="C3" s="52"/>
      <c r="D3" s="46" t="s">
        <v>259</v>
      </c>
      <c r="E3" s="52">
        <v>1</v>
      </c>
      <c r="F3" s="52"/>
      <c r="G3" s="52"/>
    </row>
    <row r="4" spans="1:8" x14ac:dyDescent="0.25">
      <c r="A4" s="46" t="s">
        <v>50</v>
      </c>
      <c r="B4" s="52">
        <v>2</v>
      </c>
      <c r="C4" s="52"/>
      <c r="D4" s="46" t="s">
        <v>264</v>
      </c>
      <c r="E4" s="52">
        <v>3</v>
      </c>
      <c r="F4" s="52"/>
      <c r="G4" s="52"/>
    </row>
    <row r="5" spans="1:8" x14ac:dyDescent="0.25">
      <c r="A5" s="46" t="s">
        <v>46</v>
      </c>
      <c r="B5" s="52">
        <v>2</v>
      </c>
      <c r="C5" s="52"/>
      <c r="D5" s="46" t="s">
        <v>266</v>
      </c>
      <c r="E5" s="52">
        <v>3</v>
      </c>
      <c r="F5" s="52"/>
      <c r="G5" s="52"/>
    </row>
    <row r="6" spans="1:8" x14ac:dyDescent="0.25">
      <c r="A6" s="46" t="s">
        <v>73</v>
      </c>
      <c r="B6" s="52">
        <v>2</v>
      </c>
      <c r="C6" s="52"/>
      <c r="D6" s="46" t="s">
        <v>171</v>
      </c>
      <c r="E6" s="52">
        <v>3</v>
      </c>
      <c r="F6" s="52"/>
      <c r="G6" s="52"/>
    </row>
    <row r="7" spans="1:8" x14ac:dyDescent="0.25">
      <c r="A7" s="46" t="s">
        <v>58</v>
      </c>
      <c r="B7" s="52">
        <v>4</v>
      </c>
      <c r="C7" s="52"/>
      <c r="D7" s="46" t="s">
        <v>174</v>
      </c>
      <c r="E7" s="52">
        <v>3</v>
      </c>
      <c r="F7" s="52"/>
      <c r="G7" s="52"/>
    </row>
    <row r="8" spans="1:8" x14ac:dyDescent="0.25">
      <c r="A8" s="46" t="s">
        <v>87</v>
      </c>
      <c r="B8" s="52">
        <v>2</v>
      </c>
      <c r="C8" s="52"/>
      <c r="D8" s="46" t="s">
        <v>320</v>
      </c>
      <c r="E8" s="52">
        <v>2</v>
      </c>
      <c r="F8" s="52"/>
      <c r="G8" s="52"/>
    </row>
    <row r="9" spans="1:8" x14ac:dyDescent="0.25">
      <c r="A9" s="46" t="s">
        <v>90</v>
      </c>
      <c r="B9" s="52">
        <v>2</v>
      </c>
      <c r="C9" s="52"/>
      <c r="D9" s="46" t="s">
        <v>323</v>
      </c>
      <c r="E9" s="52">
        <v>2</v>
      </c>
      <c r="F9" s="52"/>
      <c r="G9" s="52"/>
    </row>
    <row r="10" spans="1:8" x14ac:dyDescent="0.25">
      <c r="A10" s="46" t="s">
        <v>242</v>
      </c>
      <c r="B10" s="52">
        <v>2</v>
      </c>
      <c r="C10" s="52"/>
      <c r="D10" s="46" t="s">
        <v>294</v>
      </c>
      <c r="E10" s="52">
        <v>1</v>
      </c>
      <c r="F10" s="52"/>
      <c r="G10" s="52"/>
    </row>
    <row r="11" spans="1:8" x14ac:dyDescent="0.25">
      <c r="A11" s="46" t="s">
        <v>245</v>
      </c>
      <c r="B11" s="52">
        <v>2</v>
      </c>
      <c r="C11" s="52"/>
      <c r="D11" s="46" t="s">
        <v>77</v>
      </c>
      <c r="E11" s="52">
        <v>1</v>
      </c>
      <c r="F11" s="52"/>
      <c r="G11" s="52"/>
    </row>
    <row r="12" spans="1:8" x14ac:dyDescent="0.25">
      <c r="A12" s="46" t="s">
        <v>407</v>
      </c>
      <c r="B12" s="52">
        <v>3</v>
      </c>
      <c r="C12" s="52"/>
      <c r="D12" s="46" t="s">
        <v>237</v>
      </c>
      <c r="E12" s="52">
        <v>1</v>
      </c>
      <c r="F12" s="52"/>
      <c r="G12" s="52"/>
    </row>
    <row r="13" spans="1:8" x14ac:dyDescent="0.25">
      <c r="A13" s="46" t="s">
        <v>415</v>
      </c>
      <c r="B13" s="52">
        <v>3</v>
      </c>
      <c r="C13" s="52"/>
      <c r="D13" s="46" t="s">
        <v>106</v>
      </c>
      <c r="E13" s="52">
        <v>2</v>
      </c>
      <c r="F13" s="52"/>
      <c r="G13" s="52"/>
    </row>
    <row r="14" spans="1:8" x14ac:dyDescent="0.25">
      <c r="A14" s="46" t="s">
        <v>417</v>
      </c>
      <c r="B14" s="52">
        <v>3</v>
      </c>
      <c r="C14" s="52"/>
      <c r="D14" s="46" t="s">
        <v>109</v>
      </c>
      <c r="E14" s="52">
        <v>3</v>
      </c>
      <c r="F14" s="52"/>
      <c r="G14" s="52"/>
    </row>
    <row r="15" spans="1:8" x14ac:dyDescent="0.25">
      <c r="A15" s="46" t="s">
        <v>418</v>
      </c>
      <c r="B15" s="52">
        <v>3</v>
      </c>
      <c r="C15" s="52"/>
      <c r="D15" s="46" t="s">
        <v>111</v>
      </c>
      <c r="E15" s="52">
        <v>2</v>
      </c>
      <c r="F15" s="52"/>
      <c r="G15" s="52"/>
    </row>
    <row r="16" spans="1:8" x14ac:dyDescent="0.25">
      <c r="A16" s="46" t="s">
        <v>133</v>
      </c>
      <c r="B16" s="52">
        <v>2</v>
      </c>
      <c r="C16" s="52"/>
      <c r="D16" s="46" t="s">
        <v>113</v>
      </c>
      <c r="E16" s="52">
        <v>2</v>
      </c>
      <c r="F16" s="52"/>
      <c r="G16" s="52"/>
    </row>
    <row r="17" spans="1:7" x14ac:dyDescent="0.25">
      <c r="A17" s="46" t="s">
        <v>334</v>
      </c>
      <c r="B17" s="52">
        <v>2</v>
      </c>
      <c r="C17" s="52"/>
      <c r="D17" s="46" t="s">
        <v>396</v>
      </c>
      <c r="E17" s="52">
        <v>1</v>
      </c>
      <c r="F17" s="52"/>
      <c r="G17" s="52"/>
    </row>
    <row r="18" spans="1:7" x14ac:dyDescent="0.25">
      <c r="A18" s="46" t="s">
        <v>93</v>
      </c>
      <c r="B18" s="52">
        <v>2</v>
      </c>
      <c r="C18" s="52"/>
      <c r="D18" s="46" t="s">
        <v>398</v>
      </c>
      <c r="E18" s="52">
        <v>1</v>
      </c>
      <c r="F18" s="52"/>
      <c r="G18" s="52"/>
    </row>
    <row r="19" spans="1:7" x14ac:dyDescent="0.25">
      <c r="A19" s="46" t="s">
        <v>64</v>
      </c>
      <c r="B19" s="52">
        <v>2</v>
      </c>
      <c r="C19" s="52"/>
      <c r="D19" s="46" t="s">
        <v>399</v>
      </c>
      <c r="E19" s="52">
        <v>1</v>
      </c>
      <c r="F19" s="52"/>
      <c r="G19" s="52"/>
    </row>
    <row r="20" spans="1:7" x14ac:dyDescent="0.25">
      <c r="A20" s="46" t="s">
        <v>314</v>
      </c>
      <c r="B20" s="52">
        <v>2</v>
      </c>
      <c r="C20" s="52"/>
      <c r="D20" s="46" t="s">
        <v>401</v>
      </c>
      <c r="E20" s="52">
        <v>1</v>
      </c>
      <c r="F20" s="52"/>
      <c r="G20" s="52"/>
    </row>
    <row r="21" spans="1:7" x14ac:dyDescent="0.25">
      <c r="A21" s="46" t="s">
        <v>97</v>
      </c>
      <c r="B21" s="52">
        <v>2</v>
      </c>
      <c r="C21" s="52"/>
      <c r="D21" s="46" t="s">
        <v>471</v>
      </c>
      <c r="E21" s="52">
        <v>1</v>
      </c>
      <c r="F21" s="52"/>
      <c r="G21" s="52"/>
    </row>
    <row r="22" spans="1:7" x14ac:dyDescent="0.25">
      <c r="A22" s="46" t="s">
        <v>100</v>
      </c>
      <c r="B22" s="52">
        <v>2</v>
      </c>
      <c r="C22" s="52"/>
      <c r="D22" s="46" t="s">
        <v>474</v>
      </c>
      <c r="E22" s="52">
        <v>1</v>
      </c>
      <c r="F22" s="52"/>
      <c r="G22" s="52"/>
    </row>
    <row r="23" spans="1:7" x14ac:dyDescent="0.25">
      <c r="A23" s="46" t="s">
        <v>77</v>
      </c>
      <c r="B23" s="52">
        <v>2</v>
      </c>
      <c r="C23" s="52"/>
      <c r="D23" s="46" t="s">
        <v>627</v>
      </c>
      <c r="E23" s="52">
        <v>1</v>
      </c>
      <c r="F23" s="52"/>
      <c r="G23" s="52"/>
    </row>
    <row r="24" spans="1:7" x14ac:dyDescent="0.25">
      <c r="A24" s="46" t="s">
        <v>410</v>
      </c>
      <c r="B24" s="52">
        <v>3</v>
      </c>
      <c r="C24" s="52"/>
      <c r="D24" s="46" t="s">
        <v>625</v>
      </c>
      <c r="E24" s="52">
        <v>1</v>
      </c>
      <c r="F24" s="52"/>
      <c r="G24" s="52"/>
    </row>
    <row r="25" spans="1:7" x14ac:dyDescent="0.25">
      <c r="A25" s="46" t="s">
        <v>413</v>
      </c>
      <c r="B25" s="52">
        <v>3</v>
      </c>
      <c r="C25" s="52"/>
      <c r="D25" s="46" t="s">
        <v>628</v>
      </c>
      <c r="E25" s="52">
        <v>1</v>
      </c>
      <c r="F25" s="52"/>
      <c r="G25" s="52"/>
    </row>
    <row r="26" spans="1:7" x14ac:dyDescent="0.25">
      <c r="A26" s="46" t="s">
        <v>420</v>
      </c>
      <c r="B26" s="52">
        <v>3</v>
      </c>
      <c r="D26" s="46" t="s">
        <v>629</v>
      </c>
      <c r="E26" s="52">
        <v>1</v>
      </c>
    </row>
    <row r="27" spans="1:7" x14ac:dyDescent="0.25">
      <c r="A27" s="46" t="s">
        <v>422</v>
      </c>
      <c r="B27" s="52">
        <v>3</v>
      </c>
      <c r="D27" s="46" t="s">
        <v>486</v>
      </c>
      <c r="E27" s="52">
        <v>1</v>
      </c>
    </row>
    <row r="28" spans="1:7" x14ac:dyDescent="0.25">
      <c r="A28" s="46" t="s">
        <v>279</v>
      </c>
      <c r="B28" s="52">
        <v>2</v>
      </c>
      <c r="D28" s="46" t="s">
        <v>488</v>
      </c>
      <c r="E28" s="52">
        <v>1</v>
      </c>
    </row>
    <row r="29" spans="1:7" x14ac:dyDescent="0.25">
      <c r="A29" s="46" t="s">
        <v>282</v>
      </c>
      <c r="B29" s="52">
        <v>2</v>
      </c>
      <c r="D29" s="46" t="s">
        <v>489</v>
      </c>
      <c r="E29" s="52">
        <v>2</v>
      </c>
    </row>
    <row r="30" spans="1:7" x14ac:dyDescent="0.25">
      <c r="A30" s="46" t="s">
        <v>81</v>
      </c>
      <c r="B30" s="52">
        <v>2</v>
      </c>
      <c r="D30" s="46" t="s">
        <v>195</v>
      </c>
      <c r="E30" s="52">
        <v>3</v>
      </c>
    </row>
    <row r="31" spans="1:7" x14ac:dyDescent="0.25">
      <c r="A31" s="46" t="s">
        <v>85</v>
      </c>
      <c r="B31" s="52">
        <v>2</v>
      </c>
      <c r="D31" s="46" t="s">
        <v>197</v>
      </c>
      <c r="E31" s="52">
        <v>3</v>
      </c>
    </row>
    <row r="32" spans="1:7" x14ac:dyDescent="0.25">
      <c r="A32" s="46" t="s">
        <v>600</v>
      </c>
      <c r="B32" s="52">
        <v>2</v>
      </c>
      <c r="D32" s="46" t="s">
        <v>199</v>
      </c>
      <c r="E32" s="52">
        <v>3</v>
      </c>
    </row>
    <row r="33" spans="1:5" x14ac:dyDescent="0.25">
      <c r="A33" s="46" t="s">
        <v>601</v>
      </c>
      <c r="B33" s="52">
        <v>2</v>
      </c>
      <c r="D33" s="46" t="s">
        <v>199</v>
      </c>
      <c r="E33" s="52">
        <v>1</v>
      </c>
    </row>
    <row r="34" spans="1:5" x14ac:dyDescent="0.25">
      <c r="A34" s="46" t="s">
        <v>602</v>
      </c>
      <c r="B34" s="52">
        <v>2</v>
      </c>
      <c r="D34" s="46" t="s">
        <v>513</v>
      </c>
      <c r="E34" s="52">
        <v>1</v>
      </c>
    </row>
    <row r="35" spans="1:5" x14ac:dyDescent="0.25">
      <c r="A35" s="46" t="s">
        <v>604</v>
      </c>
      <c r="B35" s="52">
        <v>2</v>
      </c>
      <c r="D35" s="46" t="s">
        <v>688</v>
      </c>
      <c r="E35" s="52">
        <v>1</v>
      </c>
    </row>
    <row r="36" spans="1:5" x14ac:dyDescent="0.25">
      <c r="A36" s="46" t="s">
        <v>147</v>
      </c>
      <c r="B36" s="52">
        <v>2</v>
      </c>
      <c r="D36" s="46" t="s">
        <v>515</v>
      </c>
      <c r="E36" s="52">
        <v>2</v>
      </c>
    </row>
    <row r="37" spans="1:5" x14ac:dyDescent="0.25">
      <c r="A37" s="46" t="s">
        <v>605</v>
      </c>
      <c r="B37" s="52">
        <v>2</v>
      </c>
      <c r="D37" s="46" t="s">
        <v>517</v>
      </c>
      <c r="E37" s="52">
        <v>1</v>
      </c>
    </row>
    <row r="38" spans="1:5" x14ac:dyDescent="0.25">
      <c r="A38" s="46" t="s">
        <v>606</v>
      </c>
      <c r="B38" s="52">
        <v>2</v>
      </c>
      <c r="D38" s="46" t="s">
        <v>130</v>
      </c>
      <c r="E38" s="52">
        <v>1</v>
      </c>
    </row>
    <row r="39" spans="1:5" x14ac:dyDescent="0.25">
      <c r="A39" s="46" t="s">
        <v>466</v>
      </c>
      <c r="B39" s="52">
        <v>2</v>
      </c>
      <c r="D39" s="46" t="s">
        <v>567</v>
      </c>
      <c r="E39" s="52">
        <v>1</v>
      </c>
    </row>
    <row r="40" spans="1:5" x14ac:dyDescent="0.25">
      <c r="A40" s="46" t="s">
        <v>311</v>
      </c>
      <c r="B40" s="52">
        <v>2</v>
      </c>
      <c r="D40" s="46" t="s">
        <v>565</v>
      </c>
      <c r="E40" s="52">
        <v>1</v>
      </c>
    </row>
    <row r="41" spans="1:5" x14ac:dyDescent="0.25">
      <c r="A41" s="46" t="s">
        <v>522</v>
      </c>
      <c r="B41" s="52">
        <v>2</v>
      </c>
      <c r="D41" s="46" t="s">
        <v>569</v>
      </c>
      <c r="E41" s="52">
        <v>1</v>
      </c>
    </row>
    <row r="42" spans="1:5" x14ac:dyDescent="0.25">
      <c r="A42" s="46" t="s">
        <v>435</v>
      </c>
      <c r="B42" s="52">
        <v>2</v>
      </c>
      <c r="D42" s="46" t="s">
        <v>435</v>
      </c>
      <c r="E42" s="52">
        <v>1</v>
      </c>
    </row>
    <row r="43" spans="1:5" x14ac:dyDescent="0.25">
      <c r="A43" s="46" t="s">
        <v>437</v>
      </c>
      <c r="B43" s="52">
        <v>2</v>
      </c>
      <c r="D43" s="46" t="s">
        <v>437</v>
      </c>
      <c r="E43" s="52">
        <v>1</v>
      </c>
    </row>
    <row r="44" spans="1:5" x14ac:dyDescent="0.25">
      <c r="A44" s="46" t="s">
        <v>438</v>
      </c>
      <c r="B44" s="52">
        <v>2</v>
      </c>
      <c r="D44" s="46" t="s">
        <v>438</v>
      </c>
      <c r="E44" s="52">
        <v>1</v>
      </c>
    </row>
    <row r="45" spans="1:5" x14ac:dyDescent="0.25">
      <c r="A45" s="46" t="s">
        <v>424</v>
      </c>
      <c r="B45" s="52">
        <v>2</v>
      </c>
      <c r="D45" s="46" t="s">
        <v>317</v>
      </c>
      <c r="E45" s="52">
        <v>1</v>
      </c>
    </row>
    <row r="46" spans="1:5" x14ac:dyDescent="0.25">
      <c r="A46" s="46" t="s">
        <v>122</v>
      </c>
      <c r="B46" s="52">
        <v>2</v>
      </c>
      <c r="D46" s="46" t="s">
        <v>550</v>
      </c>
      <c r="E46" s="52">
        <v>1</v>
      </c>
    </row>
    <row r="47" spans="1:5" x14ac:dyDescent="0.25">
      <c r="A47" s="46" t="s">
        <v>125</v>
      </c>
      <c r="B47" s="52">
        <v>2</v>
      </c>
      <c r="D47" s="46" t="s">
        <v>551</v>
      </c>
      <c r="E47" s="52">
        <v>1</v>
      </c>
    </row>
    <row r="48" spans="1:5" x14ac:dyDescent="0.25">
      <c r="A48" s="58" t="s">
        <v>699</v>
      </c>
      <c r="B48" s="52">
        <v>2</v>
      </c>
      <c r="D48" s="46" t="s">
        <v>552</v>
      </c>
      <c r="E48" s="52">
        <v>1</v>
      </c>
    </row>
    <row r="49" spans="1:5" x14ac:dyDescent="0.25">
      <c r="A49" s="46" t="s">
        <v>149</v>
      </c>
      <c r="B49" s="52">
        <v>2</v>
      </c>
      <c r="D49" s="46" t="s">
        <v>202</v>
      </c>
      <c r="E49" s="52">
        <v>1</v>
      </c>
    </row>
    <row r="50" spans="1:5" x14ac:dyDescent="0.25">
      <c r="A50" s="46" t="s">
        <v>152</v>
      </c>
      <c r="B50" s="52">
        <v>2</v>
      </c>
      <c r="D50" s="46" t="s">
        <v>689</v>
      </c>
      <c r="E50" s="52">
        <v>1</v>
      </c>
    </row>
    <row r="51" spans="1:5" x14ac:dyDescent="0.25">
      <c r="A51" s="46" t="s">
        <v>164</v>
      </c>
      <c r="B51" s="52">
        <v>2</v>
      </c>
      <c r="D51" s="46" t="s">
        <v>338</v>
      </c>
      <c r="E51" s="52">
        <v>1</v>
      </c>
    </row>
    <row r="52" spans="1:5" x14ac:dyDescent="0.25">
      <c r="A52" s="46" t="s">
        <v>690</v>
      </c>
      <c r="B52" s="52">
        <v>2</v>
      </c>
      <c r="D52" s="46" t="s">
        <v>273</v>
      </c>
      <c r="E52" s="52">
        <v>3</v>
      </c>
    </row>
    <row r="53" spans="1:5" x14ac:dyDescent="0.25">
      <c r="A53" s="46" t="s">
        <v>506</v>
      </c>
      <c r="B53" s="52">
        <v>2</v>
      </c>
      <c r="D53" s="46" t="s">
        <v>275</v>
      </c>
      <c r="E53" s="52">
        <v>2</v>
      </c>
    </row>
    <row r="54" spans="1:5" x14ac:dyDescent="0.25">
      <c r="A54" s="46" t="s">
        <v>315</v>
      </c>
      <c r="B54" s="52">
        <v>2</v>
      </c>
      <c r="D54" s="46" t="s">
        <v>289</v>
      </c>
      <c r="E54" s="52">
        <v>2</v>
      </c>
    </row>
    <row r="55" spans="1:5" x14ac:dyDescent="0.25">
      <c r="A55" s="46" t="s">
        <v>584</v>
      </c>
      <c r="B55" s="52">
        <v>2</v>
      </c>
      <c r="D55" s="46" t="s">
        <v>341</v>
      </c>
      <c r="E55" s="52">
        <v>1</v>
      </c>
    </row>
    <row r="56" spans="1:5" x14ac:dyDescent="0.25">
      <c r="A56" s="46" t="s">
        <v>586</v>
      </c>
      <c r="B56" s="52">
        <v>2</v>
      </c>
      <c r="D56" s="46" t="s">
        <v>292</v>
      </c>
      <c r="E56" s="52">
        <v>2</v>
      </c>
    </row>
    <row r="57" spans="1:5" x14ac:dyDescent="0.25">
      <c r="A57" s="46" t="s">
        <v>587</v>
      </c>
      <c r="B57" s="52">
        <v>2</v>
      </c>
      <c r="D57" s="46" t="s">
        <v>127</v>
      </c>
      <c r="E57" s="52">
        <v>1</v>
      </c>
    </row>
    <row r="58" spans="1:5" x14ac:dyDescent="0.25">
      <c r="A58" s="46" t="s">
        <v>588</v>
      </c>
      <c r="B58" s="52">
        <v>2</v>
      </c>
      <c r="D58" s="46" t="s">
        <v>631</v>
      </c>
      <c r="E58" s="52">
        <v>1</v>
      </c>
    </row>
    <row r="59" spans="1:5" x14ac:dyDescent="0.25">
      <c r="A59" s="46" t="s">
        <v>189</v>
      </c>
      <c r="B59" s="52">
        <v>2</v>
      </c>
      <c r="D59" s="46" t="s">
        <v>633</v>
      </c>
      <c r="E59" s="52">
        <v>1</v>
      </c>
    </row>
    <row r="60" spans="1:5" x14ac:dyDescent="0.25">
      <c r="A60" s="46" t="s">
        <v>192</v>
      </c>
      <c r="B60" s="52">
        <v>2</v>
      </c>
      <c r="D60" s="46" t="s">
        <v>634</v>
      </c>
      <c r="E60" s="52">
        <v>2</v>
      </c>
    </row>
    <row r="61" spans="1:5" x14ac:dyDescent="0.25">
      <c r="A61" s="46" t="s">
        <v>430</v>
      </c>
      <c r="B61" s="52">
        <v>2</v>
      </c>
      <c r="D61" s="46" t="s">
        <v>559</v>
      </c>
      <c r="E61" s="52">
        <v>1</v>
      </c>
    </row>
    <row r="62" spans="1:5" x14ac:dyDescent="0.25">
      <c r="A62" s="46" t="s">
        <v>431</v>
      </c>
      <c r="B62" s="52">
        <v>2</v>
      </c>
      <c r="D62" s="46" t="s">
        <v>302</v>
      </c>
      <c r="E62" s="52">
        <v>1</v>
      </c>
    </row>
    <row r="63" spans="1:5" x14ac:dyDescent="0.25">
      <c r="A63" s="46" t="s">
        <v>433</v>
      </c>
      <c r="B63" s="52">
        <v>2</v>
      </c>
      <c r="D63" s="46" t="s">
        <v>305</v>
      </c>
      <c r="E63" s="52">
        <v>1</v>
      </c>
    </row>
    <row r="64" spans="1:5" x14ac:dyDescent="0.25">
      <c r="A64" s="46" t="s">
        <v>247</v>
      </c>
      <c r="B64" s="52">
        <v>2</v>
      </c>
      <c r="D64" s="46" t="s">
        <v>590</v>
      </c>
      <c r="E64" s="52">
        <v>1</v>
      </c>
    </row>
    <row r="65" spans="1:5" x14ac:dyDescent="0.25">
      <c r="A65" s="46" t="s">
        <v>102</v>
      </c>
      <c r="B65" s="52">
        <v>2</v>
      </c>
      <c r="D65" s="46" t="s">
        <v>592</v>
      </c>
      <c r="E65" s="52">
        <v>1</v>
      </c>
    </row>
    <row r="66" spans="1:5" x14ac:dyDescent="0.25">
      <c r="A66" s="46" t="s">
        <v>104</v>
      </c>
      <c r="B66" s="52">
        <v>2</v>
      </c>
      <c r="D66" s="46" t="s">
        <v>548</v>
      </c>
      <c r="E66" s="52">
        <v>1</v>
      </c>
    </row>
    <row r="67" spans="1:5" x14ac:dyDescent="0.25">
      <c r="A67" s="46" t="s">
        <v>69</v>
      </c>
      <c r="B67" s="52">
        <v>2</v>
      </c>
      <c r="D67" s="46" t="s">
        <v>154</v>
      </c>
      <c r="E67" s="52">
        <v>1</v>
      </c>
    </row>
    <row r="68" spans="1:5" x14ac:dyDescent="0.25">
      <c r="A68" s="56" t="s">
        <v>326</v>
      </c>
      <c r="B68" s="52">
        <v>2</v>
      </c>
      <c r="D68" s="46" t="s">
        <v>622</v>
      </c>
      <c r="E68" s="52">
        <v>1</v>
      </c>
    </row>
    <row r="69" spans="1:5" x14ac:dyDescent="0.25">
      <c r="A69" s="57" t="s">
        <v>693</v>
      </c>
      <c r="B69" s="52">
        <v>2</v>
      </c>
      <c r="D69" s="46" t="s">
        <v>530</v>
      </c>
      <c r="E69" s="52">
        <v>1</v>
      </c>
    </row>
    <row r="70" spans="1:5" x14ac:dyDescent="0.25">
      <c r="A70" s="46" t="s">
        <v>52</v>
      </c>
      <c r="B70" s="52">
        <v>2</v>
      </c>
      <c r="D70" s="46" t="s">
        <v>532</v>
      </c>
      <c r="E70" s="52">
        <v>1</v>
      </c>
    </row>
    <row r="71" spans="1:5" x14ac:dyDescent="0.25">
      <c r="A71" s="46" t="s">
        <v>53</v>
      </c>
      <c r="B71" s="52">
        <v>2</v>
      </c>
      <c r="D71" s="46" t="s">
        <v>480</v>
      </c>
      <c r="E71" s="52">
        <v>1</v>
      </c>
    </row>
    <row r="72" spans="1:5" x14ac:dyDescent="0.25">
      <c r="A72" s="46"/>
      <c r="B72" s="52"/>
      <c r="D72" s="46" t="s">
        <v>482</v>
      </c>
      <c r="E72" s="52">
        <v>1</v>
      </c>
    </row>
    <row r="73" spans="1:5" x14ac:dyDescent="0.25">
      <c r="A73" s="46"/>
      <c r="B73" s="52"/>
      <c r="D73" s="46" t="s">
        <v>483</v>
      </c>
      <c r="E73" s="52">
        <v>1</v>
      </c>
    </row>
    <row r="74" spans="1:5" x14ac:dyDescent="0.25">
      <c r="A74" s="46"/>
      <c r="B74" s="52"/>
      <c r="D74" s="46" t="s">
        <v>484</v>
      </c>
      <c r="E74" s="52">
        <v>1</v>
      </c>
    </row>
    <row r="75" spans="1:5" x14ac:dyDescent="0.25">
      <c r="A75" s="46"/>
      <c r="B75" s="52"/>
      <c r="D75" s="46" t="s">
        <v>573</v>
      </c>
      <c r="E75" s="52">
        <v>1</v>
      </c>
    </row>
    <row r="76" spans="1:5" x14ac:dyDescent="0.25">
      <c r="A76" s="46"/>
      <c r="B76" s="52"/>
      <c r="D76" s="46" t="s">
        <v>574</v>
      </c>
      <c r="E76" s="52">
        <v>1</v>
      </c>
    </row>
    <row r="77" spans="1:5" x14ac:dyDescent="0.25">
      <c r="A77" s="46"/>
      <c r="B77" s="52"/>
      <c r="D77" s="46" t="s">
        <v>284</v>
      </c>
      <c r="E77" s="52">
        <v>2</v>
      </c>
    </row>
    <row r="78" spans="1:5" x14ac:dyDescent="0.25">
      <c r="A78" s="46"/>
      <c r="B78" s="52"/>
      <c r="D78" s="46" t="s">
        <v>287</v>
      </c>
      <c r="E78" s="52">
        <v>2</v>
      </c>
    </row>
    <row r="79" spans="1:5" x14ac:dyDescent="0.25">
      <c r="A79" s="46"/>
      <c r="B79" s="52"/>
      <c r="D79" s="46" t="s">
        <v>534</v>
      </c>
      <c r="E79" s="52">
        <v>1</v>
      </c>
    </row>
    <row r="80" spans="1:5" x14ac:dyDescent="0.25">
      <c r="A80" s="46"/>
      <c r="B80" s="52"/>
      <c r="D80" s="46" t="s">
        <v>536</v>
      </c>
      <c r="E80" s="52">
        <v>1</v>
      </c>
    </row>
    <row r="81" spans="1:5" x14ac:dyDescent="0.25">
      <c r="A81" s="46"/>
      <c r="B81" s="52"/>
      <c r="D81" s="46" t="s">
        <v>652</v>
      </c>
      <c r="E81" s="52">
        <v>1</v>
      </c>
    </row>
    <row r="82" spans="1:5" x14ac:dyDescent="0.25">
      <c r="A82" s="46"/>
      <c r="B82" s="52"/>
      <c r="D82" s="46" t="s">
        <v>239</v>
      </c>
      <c r="E82" s="52">
        <v>2</v>
      </c>
    </row>
    <row r="83" spans="1:5" x14ac:dyDescent="0.25">
      <c r="A83" s="46"/>
      <c r="B83" s="52"/>
      <c r="D83" s="46" t="s">
        <v>441</v>
      </c>
      <c r="E83" s="52">
        <v>1</v>
      </c>
    </row>
    <row r="84" spans="1:5" x14ac:dyDescent="0.25">
      <c r="A84" s="46"/>
      <c r="B84" s="52"/>
      <c r="D84" s="46" t="s">
        <v>682</v>
      </c>
      <c r="E84" s="52">
        <v>1</v>
      </c>
    </row>
    <row r="85" spans="1:5" x14ac:dyDescent="0.25">
      <c r="A85" s="46"/>
      <c r="B85" s="52"/>
      <c r="D85" s="46" t="s">
        <v>683</v>
      </c>
      <c r="E85" s="52">
        <v>1</v>
      </c>
    </row>
    <row r="86" spans="1:5" x14ac:dyDescent="0.25">
      <c r="A86" s="46"/>
      <c r="B86" s="52"/>
      <c r="D86" s="46" t="s">
        <v>276</v>
      </c>
      <c r="E86" s="52">
        <v>3</v>
      </c>
    </row>
    <row r="87" spans="1:5" x14ac:dyDescent="0.25">
      <c r="A87" s="46"/>
      <c r="B87" s="52"/>
      <c r="D87" s="46" t="s">
        <v>269</v>
      </c>
      <c r="E87" s="52">
        <v>3</v>
      </c>
    </row>
    <row r="88" spans="1:5" x14ac:dyDescent="0.25">
      <c r="A88" s="46"/>
      <c r="B88" s="52"/>
      <c r="D88" s="46" t="s">
        <v>247</v>
      </c>
      <c r="E88" s="52">
        <v>1</v>
      </c>
    </row>
    <row r="89" spans="1:5" x14ac:dyDescent="0.25">
      <c r="A89" s="46"/>
      <c r="B89" s="52"/>
      <c r="D89" s="46" t="s">
        <v>250</v>
      </c>
      <c r="E89" s="52">
        <v>1</v>
      </c>
    </row>
    <row r="90" spans="1:5" x14ac:dyDescent="0.25">
      <c r="A90" s="46"/>
      <c r="B90" s="52"/>
      <c r="D90" s="46" t="s">
        <v>253</v>
      </c>
      <c r="E90" s="52">
        <v>1</v>
      </c>
    </row>
    <row r="91" spans="1:5" x14ac:dyDescent="0.25">
      <c r="A91" s="46"/>
      <c r="B91" s="52"/>
      <c r="D91" s="56" t="s">
        <v>700</v>
      </c>
      <c r="E91" s="52">
        <v>1</v>
      </c>
    </row>
    <row r="92" spans="1:5" x14ac:dyDescent="0.25">
      <c r="A92" s="46"/>
      <c r="B92" s="52"/>
      <c r="D92" s="46" t="s">
        <v>260</v>
      </c>
      <c r="E92" s="52">
        <v>3</v>
      </c>
    </row>
    <row r="93" spans="1:5" x14ac:dyDescent="0.25">
      <c r="A93" s="46"/>
      <c r="B93" s="52"/>
      <c r="D93" s="46" t="s">
        <v>262</v>
      </c>
      <c r="E93" s="52">
        <v>3</v>
      </c>
    </row>
    <row r="94" spans="1:5" x14ac:dyDescent="0.25">
      <c r="A94" s="46"/>
      <c r="B94" s="52"/>
      <c r="D94" s="46" t="s">
        <v>232</v>
      </c>
      <c r="E94" s="52">
        <v>2</v>
      </c>
    </row>
    <row r="95" spans="1:5" x14ac:dyDescent="0.25">
      <c r="A95" s="46"/>
      <c r="B95" s="52"/>
      <c r="D95" s="46" t="s">
        <v>176</v>
      </c>
      <c r="E95" s="52">
        <v>5</v>
      </c>
    </row>
    <row r="96" spans="1:5" x14ac:dyDescent="0.25">
      <c r="A96" s="46"/>
      <c r="B96" s="52"/>
      <c r="D96" s="46" t="s">
        <v>177</v>
      </c>
      <c r="E96" s="52">
        <v>5</v>
      </c>
    </row>
    <row r="97" spans="1:5" x14ac:dyDescent="0.25">
      <c r="A97" s="46"/>
      <c r="B97" s="52"/>
      <c r="D97" s="46" t="s">
        <v>449</v>
      </c>
      <c r="E97" s="52">
        <v>2</v>
      </c>
    </row>
    <row r="98" spans="1:5" x14ac:dyDescent="0.25">
      <c r="A98" s="56"/>
      <c r="B98" s="52"/>
      <c r="D98" s="46" t="s">
        <v>450</v>
      </c>
      <c r="E98" s="52">
        <v>2</v>
      </c>
    </row>
    <row r="99" spans="1:5" x14ac:dyDescent="0.25">
      <c r="A99" s="46"/>
      <c r="B99" s="52"/>
      <c r="D99" s="46" t="s">
        <v>52</v>
      </c>
      <c r="E99" s="52">
        <v>2</v>
      </c>
    </row>
    <row r="100" spans="1:5" x14ac:dyDescent="0.25">
      <c r="A100" s="46"/>
      <c r="B100" s="52"/>
      <c r="D100" s="46" t="s">
        <v>180</v>
      </c>
      <c r="E100" s="52">
        <v>3</v>
      </c>
    </row>
    <row r="101" spans="1:5" x14ac:dyDescent="0.25">
      <c r="A101" s="46"/>
      <c r="B101" s="52"/>
    </row>
    <row r="102" spans="1:5" x14ac:dyDescent="0.25">
      <c r="A102" s="46"/>
      <c r="B102" s="52"/>
    </row>
    <row r="103" spans="1:5" x14ac:dyDescent="0.25">
      <c r="A103" s="46"/>
      <c r="B103" s="52"/>
    </row>
    <row r="104" spans="1:5" x14ac:dyDescent="0.25">
      <c r="A104" s="46"/>
      <c r="B104" s="52"/>
    </row>
    <row r="105" spans="1:5" x14ac:dyDescent="0.25">
      <c r="A105" s="46"/>
      <c r="B105" s="52"/>
    </row>
    <row r="106" spans="1:5" x14ac:dyDescent="0.25">
      <c r="A106" s="46"/>
      <c r="B106" s="52"/>
    </row>
    <row r="107" spans="1:5" x14ac:dyDescent="0.25">
      <c r="A107" s="46"/>
      <c r="B107" s="52"/>
    </row>
    <row r="108" spans="1:5" x14ac:dyDescent="0.25">
      <c r="A108" s="46"/>
      <c r="B108" s="52"/>
    </row>
    <row r="109" spans="1:5" x14ac:dyDescent="0.25">
      <c r="A109" s="46"/>
      <c r="B109" s="52"/>
    </row>
    <row r="110" spans="1:5" x14ac:dyDescent="0.25">
      <c r="A110" s="46"/>
      <c r="B110" s="52"/>
    </row>
    <row r="111" spans="1:5" x14ac:dyDescent="0.25">
      <c r="A111" s="46"/>
      <c r="B111" s="52"/>
    </row>
    <row r="112" spans="1:5" x14ac:dyDescent="0.25">
      <c r="A112" s="46"/>
      <c r="B112" s="52"/>
    </row>
    <row r="113" spans="1:2" x14ac:dyDescent="0.25">
      <c r="A113" s="46"/>
      <c r="B113" s="52"/>
    </row>
    <row r="114" spans="1:2" x14ac:dyDescent="0.25">
      <c r="A114" s="46"/>
      <c r="B114" s="52"/>
    </row>
    <row r="115" spans="1:2" x14ac:dyDescent="0.25">
      <c r="A115" s="46"/>
      <c r="B115" s="52"/>
    </row>
    <row r="116" spans="1:2" x14ac:dyDescent="0.25">
      <c r="A116" s="46"/>
      <c r="B116" s="52"/>
    </row>
    <row r="117" spans="1:2" x14ac:dyDescent="0.25">
      <c r="A117" s="46"/>
      <c r="B117" s="52"/>
    </row>
    <row r="118" spans="1:2" x14ac:dyDescent="0.25">
      <c r="A118" s="46"/>
      <c r="B118" s="52"/>
    </row>
    <row r="119" spans="1:2" x14ac:dyDescent="0.25">
      <c r="A119" s="46"/>
      <c r="B119" s="52"/>
    </row>
    <row r="120" spans="1:2" x14ac:dyDescent="0.25">
      <c r="A120" s="46"/>
      <c r="B120" s="52"/>
    </row>
    <row r="121" spans="1:2" x14ac:dyDescent="0.25">
      <c r="A121" s="46"/>
      <c r="B121" s="52"/>
    </row>
    <row r="122" spans="1:2" x14ac:dyDescent="0.25">
      <c r="A122" s="46"/>
      <c r="B122" s="52"/>
    </row>
    <row r="123" spans="1:2" x14ac:dyDescent="0.25">
      <c r="A123" s="46"/>
      <c r="B123" s="52"/>
    </row>
    <row r="124" spans="1:2" x14ac:dyDescent="0.25">
      <c r="A124" s="46"/>
      <c r="B124" s="52"/>
    </row>
    <row r="125" spans="1:2" x14ac:dyDescent="0.25">
      <c r="A125" s="46"/>
      <c r="B125" s="52"/>
    </row>
  </sheetData>
  <phoneticPr fontId="3" type="noConversion"/>
  <pageMargins left="0.7" right="0.7" top="0.75" bottom="0.75" header="0.3" footer="0.3"/>
  <pageSetup orientation="portrait" r:id="rId1"/>
  <headerFooter>
    <oddFooter>&amp;L&amp;1#&amp;"Calibri"&amp;10&amp;K000000Internal</oddFooter>
  </headerFooter>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77E1E41-8029-1540-8157-878D1A83DA7C}">
          <x14:formula1>
            <xm:f>SpotFX!$A$4:$A$10</xm:f>
          </x14:formula1>
          <xm:sqref>G2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FB7BF-4418-4A41-AA3C-DBCAB227E020}">
  <sheetPr codeName="Sheet5"/>
  <dimension ref="A1:G25"/>
  <sheetViews>
    <sheetView workbookViewId="0">
      <selection activeCell="G2" sqref="G2"/>
    </sheetView>
  </sheetViews>
  <sheetFormatPr defaultColWidth="11.453125" defaultRowHeight="12.5" x14ac:dyDescent="0.25"/>
  <sheetData>
    <row r="1" spans="1:7" ht="13" x14ac:dyDescent="0.3">
      <c r="A1" s="25" t="s">
        <v>25</v>
      </c>
      <c r="B1" s="25" t="s">
        <v>26</v>
      </c>
      <c r="C1" s="1"/>
      <c r="D1" s="25" t="s">
        <v>27</v>
      </c>
      <c r="E1" s="25" t="s">
        <v>26</v>
      </c>
      <c r="F1" s="52"/>
      <c r="G1" s="25" t="s">
        <v>14</v>
      </c>
    </row>
    <row r="2" spans="1:7" x14ac:dyDescent="0.25">
      <c r="A2" s="46" t="s">
        <v>69</v>
      </c>
      <c r="B2" s="52">
        <v>1</v>
      </c>
      <c r="C2" s="52"/>
      <c r="D2" s="46" t="s">
        <v>46</v>
      </c>
      <c r="E2" s="52">
        <v>2</v>
      </c>
      <c r="F2" s="52"/>
      <c r="G2" s="46" t="s">
        <v>297</v>
      </c>
    </row>
    <row r="3" spans="1:7" x14ac:dyDescent="0.25">
      <c r="A3" s="46" t="s">
        <v>73</v>
      </c>
      <c r="B3" s="52">
        <v>1</v>
      </c>
      <c r="C3" s="52"/>
      <c r="D3" s="46" t="s">
        <v>50</v>
      </c>
      <c r="E3" s="52">
        <v>2</v>
      </c>
      <c r="F3" s="52"/>
      <c r="G3" s="52"/>
    </row>
    <row r="4" spans="1:7" x14ac:dyDescent="0.25">
      <c r="A4" s="46" t="s">
        <v>77</v>
      </c>
      <c r="B4" s="52">
        <v>1</v>
      </c>
      <c r="C4" s="52"/>
      <c r="D4" s="46" t="s">
        <v>52</v>
      </c>
      <c r="E4" s="52">
        <v>2</v>
      </c>
      <c r="F4" s="52"/>
      <c r="G4" s="52"/>
    </row>
    <row r="5" spans="1:7" x14ac:dyDescent="0.25">
      <c r="A5" s="46" t="s">
        <v>106</v>
      </c>
      <c r="B5" s="52">
        <v>2</v>
      </c>
      <c r="C5" s="52"/>
      <c r="D5" s="46" t="s">
        <v>53</v>
      </c>
      <c r="E5" s="52">
        <v>2</v>
      </c>
      <c r="F5" s="52"/>
      <c r="G5" s="52"/>
    </row>
    <row r="6" spans="1:7" x14ac:dyDescent="0.25">
      <c r="A6" s="46" t="s">
        <v>109</v>
      </c>
      <c r="B6" s="52">
        <v>2</v>
      </c>
      <c r="C6" s="52"/>
      <c r="D6" s="46" t="s">
        <v>58</v>
      </c>
      <c r="E6" s="52">
        <v>2</v>
      </c>
      <c r="F6" s="52"/>
      <c r="G6" s="52"/>
    </row>
    <row r="7" spans="1:7" x14ac:dyDescent="0.25">
      <c r="A7" s="46" t="s">
        <v>111</v>
      </c>
      <c r="B7" s="52">
        <v>2</v>
      </c>
      <c r="C7" s="52"/>
      <c r="D7" s="46" t="s">
        <v>64</v>
      </c>
      <c r="E7" s="52">
        <v>2</v>
      </c>
      <c r="F7" s="52"/>
      <c r="G7" s="52"/>
    </row>
    <row r="8" spans="1:7" x14ac:dyDescent="0.25">
      <c r="A8" s="46" t="s">
        <v>113</v>
      </c>
      <c r="B8" s="52">
        <v>2</v>
      </c>
      <c r="C8" s="52"/>
      <c r="D8" s="46" t="s">
        <v>69</v>
      </c>
      <c r="E8" s="52">
        <v>2</v>
      </c>
      <c r="F8" s="52"/>
      <c r="G8" s="52"/>
    </row>
    <row r="9" spans="1:7" x14ac:dyDescent="0.25">
      <c r="A9" s="46" t="s">
        <v>171</v>
      </c>
      <c r="B9" s="52">
        <v>3</v>
      </c>
      <c r="C9" s="52"/>
      <c r="D9" s="46" t="s">
        <v>73</v>
      </c>
      <c r="E9" s="52">
        <v>2</v>
      </c>
      <c r="F9" s="52"/>
      <c r="G9" s="52"/>
    </row>
    <row r="10" spans="1:7" x14ac:dyDescent="0.25">
      <c r="A10" s="46" t="s">
        <v>174</v>
      </c>
      <c r="B10" s="52">
        <v>3</v>
      </c>
      <c r="C10" s="52"/>
      <c r="D10" s="46" t="s">
        <v>77</v>
      </c>
      <c r="E10" s="52">
        <v>2</v>
      </c>
      <c r="F10" s="52"/>
      <c r="G10" s="52"/>
    </row>
    <row r="11" spans="1:7" x14ac:dyDescent="0.25">
      <c r="A11" s="46" t="s">
        <v>176</v>
      </c>
      <c r="B11" s="52">
        <v>3</v>
      </c>
      <c r="C11" s="52"/>
      <c r="D11" s="46" t="s">
        <v>81</v>
      </c>
      <c r="E11" s="52">
        <v>2</v>
      </c>
      <c r="F11" s="52"/>
      <c r="G11" s="52"/>
    </row>
    <row r="12" spans="1:7" x14ac:dyDescent="0.25">
      <c r="A12" s="46" t="s">
        <v>177</v>
      </c>
      <c r="B12" s="52">
        <v>3</v>
      </c>
      <c r="C12" s="52"/>
      <c r="D12" s="46" t="s">
        <v>85</v>
      </c>
      <c r="E12" s="52">
        <v>2</v>
      </c>
      <c r="F12" s="52"/>
      <c r="G12" s="52"/>
    </row>
    <row r="13" spans="1:7" x14ac:dyDescent="0.25">
      <c r="A13" s="46" t="s">
        <v>180</v>
      </c>
      <c r="B13" s="52">
        <v>3</v>
      </c>
      <c r="C13" s="52"/>
      <c r="D13" s="46" t="s">
        <v>87</v>
      </c>
      <c r="E13" s="52">
        <v>2</v>
      </c>
      <c r="F13" s="52"/>
      <c r="G13" s="52"/>
    </row>
    <row r="14" spans="1:7" x14ac:dyDescent="0.25">
      <c r="A14" s="46" t="s">
        <v>195</v>
      </c>
      <c r="B14" s="52">
        <v>3</v>
      </c>
      <c r="C14" s="52"/>
      <c r="D14" s="46" t="s">
        <v>90</v>
      </c>
      <c r="E14" s="52">
        <v>2</v>
      </c>
      <c r="F14" s="52"/>
      <c r="G14" s="52"/>
    </row>
    <row r="15" spans="1:7" x14ac:dyDescent="0.25">
      <c r="A15" s="46" t="s">
        <v>197</v>
      </c>
      <c r="B15" s="52">
        <v>3</v>
      </c>
      <c r="C15" s="52"/>
      <c r="D15" s="46" t="s">
        <v>93</v>
      </c>
      <c r="E15" s="52">
        <v>2</v>
      </c>
      <c r="F15" s="52"/>
      <c r="G15" s="52"/>
    </row>
    <row r="16" spans="1:7" x14ac:dyDescent="0.25">
      <c r="A16" s="46" t="s">
        <v>199</v>
      </c>
      <c r="B16" s="52">
        <v>3</v>
      </c>
      <c r="C16" s="52"/>
      <c r="D16" s="46" t="s">
        <v>97</v>
      </c>
      <c r="E16" s="52">
        <v>2</v>
      </c>
      <c r="F16" s="52"/>
      <c r="G16" s="52"/>
    </row>
    <row r="17" spans="1:7" x14ac:dyDescent="0.25">
      <c r="A17" s="46" t="s">
        <v>237</v>
      </c>
      <c r="B17" s="52">
        <v>1</v>
      </c>
      <c r="C17" s="52"/>
      <c r="D17" s="46" t="s">
        <v>100</v>
      </c>
      <c r="E17" s="52">
        <v>2</v>
      </c>
      <c r="F17" s="52"/>
      <c r="G17" s="52"/>
    </row>
    <row r="18" spans="1:7" x14ac:dyDescent="0.25">
      <c r="A18" s="46" t="s">
        <v>239</v>
      </c>
      <c r="B18" s="52">
        <v>1</v>
      </c>
      <c r="C18" s="52"/>
      <c r="D18" s="46" t="s">
        <v>102</v>
      </c>
      <c r="E18" s="52">
        <v>2</v>
      </c>
      <c r="F18" s="52"/>
      <c r="G18" s="52"/>
    </row>
    <row r="19" spans="1:7" x14ac:dyDescent="0.25">
      <c r="A19" s="46" t="s">
        <v>242</v>
      </c>
      <c r="B19" s="52">
        <v>1</v>
      </c>
      <c r="C19" s="52"/>
      <c r="D19" s="46" t="s">
        <v>104</v>
      </c>
      <c r="E19" s="52">
        <v>2</v>
      </c>
      <c r="F19" s="52"/>
      <c r="G19" s="52"/>
    </row>
    <row r="20" spans="1:7" x14ac:dyDescent="0.25">
      <c r="A20" s="46" t="s">
        <v>245</v>
      </c>
      <c r="B20" s="52">
        <v>1</v>
      </c>
      <c r="C20" s="52"/>
      <c r="D20" s="52"/>
      <c r="E20" s="52"/>
      <c r="F20" s="52"/>
      <c r="G20" s="52"/>
    </row>
    <row r="21" spans="1:7" x14ac:dyDescent="0.25">
      <c r="A21" s="46" t="s">
        <v>247</v>
      </c>
      <c r="B21" s="52">
        <v>1</v>
      </c>
      <c r="C21" s="52"/>
      <c r="D21" s="52"/>
      <c r="E21" s="52"/>
      <c r="F21" s="52"/>
      <c r="G21" s="52"/>
    </row>
    <row r="22" spans="1:7" x14ac:dyDescent="0.25">
      <c r="A22" s="46" t="s">
        <v>250</v>
      </c>
      <c r="B22" s="52">
        <v>1</v>
      </c>
      <c r="C22" s="52"/>
      <c r="D22" s="52"/>
      <c r="E22" s="52"/>
      <c r="F22" s="52"/>
      <c r="G22" s="52"/>
    </row>
    <row r="23" spans="1:7" x14ac:dyDescent="0.25">
      <c r="A23" s="46" t="s">
        <v>253</v>
      </c>
      <c r="B23" s="52">
        <v>1</v>
      </c>
      <c r="C23" s="52"/>
      <c r="D23" s="52"/>
      <c r="E23" s="52"/>
      <c r="F23" s="52"/>
      <c r="G23" s="52"/>
    </row>
    <row r="24" spans="1:7" x14ac:dyDescent="0.25">
      <c r="A24" s="46" t="s">
        <v>256</v>
      </c>
      <c r="B24" s="52">
        <v>1</v>
      </c>
      <c r="C24" s="52"/>
      <c r="D24" s="52"/>
      <c r="E24" s="52"/>
      <c r="F24" s="52"/>
      <c r="G24" s="52"/>
    </row>
    <row r="25" spans="1:7" x14ac:dyDescent="0.25">
      <c r="A25" s="46" t="s">
        <v>259</v>
      </c>
      <c r="B25" s="52">
        <v>1</v>
      </c>
      <c r="C25" s="52"/>
      <c r="D25" s="52"/>
      <c r="E25" s="52"/>
      <c r="F25" s="52"/>
      <c r="G25" s="52"/>
    </row>
  </sheetData>
  <phoneticPr fontId="3" type="noConversion"/>
  <pageMargins left="0.7" right="0.7" top="0.75" bottom="0.75" header="0.3" footer="0.3"/>
  <pageSetup orientation="portrait" r:id="rId1"/>
  <headerFooter>
    <oddFooter>&amp;L&amp;1#&amp;"Calibri"&amp;10&amp;K000000Internal</oddFooter>
  </headerFooter>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736AB5F6-7704-7C46-9D25-078C12CE6C88}">
          <x14:formula1>
            <xm:f>SpotFX!$A$4:$A$10</xm:f>
          </x14:formula1>
          <xm:sqref>G2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F57D9-71EE-9A45-A9DA-23E439255AD7}">
  <sheetPr codeName="Sheet6"/>
  <dimension ref="A1:G24"/>
  <sheetViews>
    <sheetView workbookViewId="0">
      <selection activeCell="G2" sqref="G2"/>
    </sheetView>
  </sheetViews>
  <sheetFormatPr defaultColWidth="11.453125" defaultRowHeight="12.5" x14ac:dyDescent="0.25"/>
  <sheetData>
    <row r="1" spans="1:7" ht="13" x14ac:dyDescent="0.3">
      <c r="A1" s="25" t="s">
        <v>25</v>
      </c>
      <c r="B1" s="25" t="s">
        <v>26</v>
      </c>
      <c r="C1" s="1"/>
      <c r="D1" s="25" t="s">
        <v>27</v>
      </c>
      <c r="E1" s="25" t="s">
        <v>26</v>
      </c>
      <c r="F1" s="52"/>
      <c r="G1" s="25" t="s">
        <v>14</v>
      </c>
    </row>
    <row r="2" spans="1:7" x14ac:dyDescent="0.25">
      <c r="A2" s="46" t="s">
        <v>260</v>
      </c>
      <c r="B2" s="52">
        <v>3</v>
      </c>
      <c r="C2" s="52"/>
      <c r="D2" s="46" t="s">
        <v>407</v>
      </c>
      <c r="E2" s="52">
        <v>3</v>
      </c>
      <c r="F2" s="52"/>
      <c r="G2" s="46" t="s">
        <v>15</v>
      </c>
    </row>
    <row r="3" spans="1:7" x14ac:dyDescent="0.25">
      <c r="A3" s="46" t="s">
        <v>262</v>
      </c>
      <c r="B3" s="52">
        <v>3</v>
      </c>
      <c r="C3" s="52"/>
      <c r="D3" s="46" t="s">
        <v>410</v>
      </c>
      <c r="E3" s="52">
        <v>3</v>
      </c>
      <c r="F3" s="52"/>
      <c r="G3" s="52"/>
    </row>
    <row r="4" spans="1:7" x14ac:dyDescent="0.25">
      <c r="A4" s="46" t="s">
        <v>264</v>
      </c>
      <c r="B4" s="52">
        <v>3</v>
      </c>
      <c r="C4" s="52"/>
      <c r="D4" s="46" t="s">
        <v>413</v>
      </c>
      <c r="E4" s="52">
        <v>3</v>
      </c>
      <c r="F4" s="52"/>
      <c r="G4" s="52"/>
    </row>
    <row r="5" spans="1:7" x14ac:dyDescent="0.25">
      <c r="A5" s="46" t="s">
        <v>266</v>
      </c>
      <c r="B5" s="52">
        <v>3</v>
      </c>
      <c r="C5" s="52"/>
      <c r="D5" s="46" t="s">
        <v>415</v>
      </c>
      <c r="E5" s="52">
        <v>3</v>
      </c>
      <c r="F5" s="52"/>
      <c r="G5" s="52"/>
    </row>
    <row r="6" spans="1:7" x14ac:dyDescent="0.25">
      <c r="A6" s="46" t="s">
        <v>269</v>
      </c>
      <c r="B6" s="52">
        <v>3</v>
      </c>
      <c r="C6" s="52"/>
      <c r="D6" s="46" t="s">
        <v>417</v>
      </c>
      <c r="E6" s="52">
        <v>3</v>
      </c>
      <c r="F6" s="52"/>
      <c r="G6" s="52"/>
    </row>
    <row r="7" spans="1:7" x14ac:dyDescent="0.25">
      <c r="A7" s="46" t="s">
        <v>273</v>
      </c>
      <c r="B7" s="52">
        <v>2</v>
      </c>
      <c r="C7" s="52"/>
      <c r="D7" s="46" t="s">
        <v>418</v>
      </c>
      <c r="E7" s="52">
        <v>3</v>
      </c>
      <c r="F7" s="52"/>
      <c r="G7" s="52"/>
    </row>
    <row r="8" spans="1:7" x14ac:dyDescent="0.25">
      <c r="A8" s="46" t="s">
        <v>275</v>
      </c>
      <c r="B8" s="52">
        <v>2</v>
      </c>
      <c r="C8" s="52"/>
      <c r="D8" s="46" t="s">
        <v>420</v>
      </c>
      <c r="E8" s="52">
        <v>3</v>
      </c>
      <c r="F8" s="52"/>
      <c r="G8" s="52"/>
    </row>
    <row r="9" spans="1:7" x14ac:dyDescent="0.25">
      <c r="A9" s="46" t="s">
        <v>276</v>
      </c>
      <c r="B9" s="52">
        <v>3</v>
      </c>
      <c r="C9" s="52"/>
      <c r="D9" s="46" t="s">
        <v>422</v>
      </c>
      <c r="E9" s="52">
        <v>3</v>
      </c>
      <c r="F9" s="52"/>
      <c r="G9" s="52"/>
    </row>
    <row r="10" spans="1:7" x14ac:dyDescent="0.25">
      <c r="A10" s="46" t="s">
        <v>279</v>
      </c>
      <c r="B10" s="52">
        <v>3</v>
      </c>
      <c r="C10" s="52"/>
      <c r="D10" s="46" t="s">
        <v>424</v>
      </c>
      <c r="E10" s="52">
        <v>2</v>
      </c>
      <c r="F10" s="52"/>
      <c r="G10" s="52"/>
    </row>
    <row r="11" spans="1:7" x14ac:dyDescent="0.25">
      <c r="A11" s="46" t="s">
        <v>282</v>
      </c>
      <c r="B11" s="52">
        <v>1</v>
      </c>
      <c r="C11" s="52"/>
      <c r="D11" s="46" t="s">
        <v>428</v>
      </c>
      <c r="E11" s="52">
        <v>2</v>
      </c>
      <c r="F11" s="52"/>
      <c r="G11" s="52"/>
    </row>
    <row r="12" spans="1:7" x14ac:dyDescent="0.25">
      <c r="A12" s="46" t="s">
        <v>284</v>
      </c>
      <c r="B12" s="52">
        <v>1</v>
      </c>
      <c r="C12" s="52"/>
      <c r="D12" s="46">
        <v>687638</v>
      </c>
      <c r="E12" s="52">
        <v>2</v>
      </c>
      <c r="F12" s="52"/>
      <c r="G12" s="52"/>
    </row>
    <row r="13" spans="1:7" x14ac:dyDescent="0.25">
      <c r="A13" s="46" t="s">
        <v>287</v>
      </c>
      <c r="B13" s="52">
        <v>1</v>
      </c>
      <c r="C13" s="52"/>
      <c r="D13" s="46" t="s">
        <v>430</v>
      </c>
      <c r="E13" s="52">
        <v>2</v>
      </c>
      <c r="F13" s="52"/>
      <c r="G13" s="52"/>
    </row>
    <row r="14" spans="1:7" x14ac:dyDescent="0.25">
      <c r="A14" s="46" t="s">
        <v>289</v>
      </c>
      <c r="B14" s="52">
        <v>1</v>
      </c>
      <c r="C14" s="52"/>
      <c r="D14" s="46" t="s">
        <v>431</v>
      </c>
      <c r="E14" s="52">
        <v>2</v>
      </c>
      <c r="F14" s="52"/>
      <c r="G14" s="52"/>
    </row>
    <row r="15" spans="1:7" x14ac:dyDescent="0.25">
      <c r="A15" s="46" t="s">
        <v>292</v>
      </c>
      <c r="B15" s="52">
        <v>1</v>
      </c>
      <c r="C15" s="52"/>
      <c r="D15" s="46" t="s">
        <v>433</v>
      </c>
      <c r="E15" s="52">
        <v>2</v>
      </c>
      <c r="F15" s="52"/>
      <c r="G15" s="52"/>
    </row>
    <row r="16" spans="1:7" x14ac:dyDescent="0.25">
      <c r="A16" s="46" t="s">
        <v>294</v>
      </c>
      <c r="B16" s="52">
        <v>1</v>
      </c>
      <c r="C16" s="52"/>
      <c r="D16" s="46" t="s">
        <v>435</v>
      </c>
      <c r="E16" s="52">
        <v>2</v>
      </c>
      <c r="F16" s="52"/>
      <c r="G16" s="52"/>
    </row>
    <row r="17" spans="1:7" x14ac:dyDescent="0.25">
      <c r="A17" s="46" t="s">
        <v>320</v>
      </c>
      <c r="B17" s="52">
        <v>2</v>
      </c>
      <c r="C17" s="52"/>
      <c r="D17" s="46" t="s">
        <v>437</v>
      </c>
      <c r="E17" s="52">
        <v>2</v>
      </c>
      <c r="F17" s="52"/>
      <c r="G17" s="52"/>
    </row>
    <row r="18" spans="1:7" x14ac:dyDescent="0.25">
      <c r="A18" s="46" t="s">
        <v>323</v>
      </c>
      <c r="B18" s="52">
        <v>2</v>
      </c>
      <c r="C18" s="52"/>
      <c r="D18" s="46" t="s">
        <v>438</v>
      </c>
      <c r="E18" s="52">
        <v>2</v>
      </c>
      <c r="F18" s="52"/>
      <c r="G18" s="52"/>
    </row>
    <row r="19" spans="1:7" x14ac:dyDescent="0.25">
      <c r="A19" s="46" t="s">
        <v>232</v>
      </c>
      <c r="B19" s="52">
        <v>2</v>
      </c>
      <c r="C19" s="52"/>
      <c r="D19" s="52"/>
      <c r="E19" s="52"/>
      <c r="F19" s="52"/>
      <c r="G19" s="52"/>
    </row>
    <row r="20" spans="1:7" x14ac:dyDescent="0.25">
      <c r="A20" s="46" t="s">
        <v>176</v>
      </c>
      <c r="B20" s="52">
        <v>2</v>
      </c>
      <c r="C20" s="52"/>
      <c r="D20" s="52"/>
      <c r="E20" s="52"/>
      <c r="F20" s="52"/>
      <c r="G20" s="52"/>
    </row>
    <row r="21" spans="1:7" x14ac:dyDescent="0.25">
      <c r="A21" s="46" t="s">
        <v>177</v>
      </c>
      <c r="B21" s="52">
        <v>2</v>
      </c>
      <c r="C21" s="52"/>
      <c r="D21" s="52"/>
      <c r="E21" s="52"/>
      <c r="F21" s="52"/>
      <c r="G21" s="52"/>
    </row>
    <row r="22" spans="1:7" x14ac:dyDescent="0.25">
      <c r="A22" s="46" t="s">
        <v>449</v>
      </c>
      <c r="B22" s="52">
        <v>2</v>
      </c>
      <c r="C22" s="52"/>
      <c r="D22" s="52"/>
      <c r="E22" s="52"/>
      <c r="F22" s="52"/>
      <c r="G22" s="52"/>
    </row>
    <row r="23" spans="1:7" x14ac:dyDescent="0.25">
      <c r="A23" s="46" t="s">
        <v>450</v>
      </c>
      <c r="B23" s="52">
        <v>2</v>
      </c>
      <c r="C23" s="52"/>
      <c r="D23" s="52"/>
      <c r="E23" s="52"/>
      <c r="F23" s="52"/>
      <c r="G23" s="52"/>
    </row>
    <row r="24" spans="1:7" x14ac:dyDescent="0.25">
      <c r="A24" s="46" t="s">
        <v>52</v>
      </c>
      <c r="B24" s="52">
        <v>2</v>
      </c>
      <c r="C24" s="52"/>
      <c r="D24" s="52"/>
      <c r="E24" s="52"/>
      <c r="F24" s="52"/>
      <c r="G24" s="52"/>
    </row>
  </sheetData>
  <phoneticPr fontId="3" type="noConversion"/>
  <pageMargins left="0.7" right="0.7" top="0.75" bottom="0.75" header="0.3" footer="0.3"/>
  <pageSetup orientation="portrait" r:id="rId1"/>
  <headerFooter>
    <oddFooter>&amp;L&amp;1#&amp;"Calibri"&amp;10&amp;K000000Internal</oddFooter>
  </headerFooter>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4F223BB-32E2-4E45-9A52-34C40E5F28D1}">
          <x14:formula1>
            <xm:f>SpotFX!$A$4:$A$10</xm:f>
          </x14:formula1>
          <xm:sqref>G2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Intro</vt:lpstr>
      <vt:lpstr>Input</vt:lpstr>
      <vt:lpstr>IRCAD</vt:lpstr>
      <vt:lpstr>IRUSD</vt:lpstr>
      <vt:lpstr>IRJPY</vt:lpstr>
      <vt:lpstr>IREUR</vt:lpstr>
      <vt:lpstr>IRGBP</vt:lpstr>
      <vt:lpstr>IRHKD</vt:lpstr>
      <vt:lpstr>IRAUD</vt:lpstr>
      <vt:lpstr>SpotFX</vt:lpstr>
      <vt:lpstr>bondmkt</vt:lpstr>
      <vt:lpstr>Shortlisted Securities</vt:lpstr>
      <vt:lpstr>BS1</vt:lpstr>
      <vt:lpstr>BS2</vt:lpstr>
      <vt:lpstr>BS3</vt:lpstr>
      <vt:lpstr>SessionDate</vt:lpstr>
    </vt:vector>
  </TitlesOfParts>
  <Company>London Business School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Models for AMFchapter 4</dc:title>
  <dc:creator>Mary Jackson and Mike Staunton</dc:creator>
  <cp:lastModifiedBy>Owner</cp:lastModifiedBy>
  <dcterms:created xsi:type="dcterms:W3CDTF">2000-09-19T17:27:05Z</dcterms:created>
  <dcterms:modified xsi:type="dcterms:W3CDTF">2020-05-27T21:12:22Z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8c63503-0fb3-4712-a32e-7ecb4b7d79e8_Enabled">
    <vt:lpwstr>True</vt:lpwstr>
  </property>
  <property fmtid="{D5CDD505-2E9C-101B-9397-08002B2CF9AE}" pid="3" name="MSIP_Label_88c63503-0fb3-4712-a32e-7ecb4b7d79e8_SiteId">
    <vt:lpwstr>d9da684f-2c03-432a-a7b6-ed714ffc7683</vt:lpwstr>
  </property>
  <property fmtid="{D5CDD505-2E9C-101B-9397-08002B2CF9AE}" pid="4" name="MSIP_Label_88c63503-0fb3-4712-a32e-7ecb4b7d79e8_Owner">
    <vt:lpwstr>FRANK.Su@tdsecurities.com</vt:lpwstr>
  </property>
  <property fmtid="{D5CDD505-2E9C-101B-9397-08002B2CF9AE}" pid="5" name="MSIP_Label_88c63503-0fb3-4712-a32e-7ecb4b7d79e8_SetDate">
    <vt:lpwstr>2020-02-19T22:52:13.6225455Z</vt:lpwstr>
  </property>
  <property fmtid="{D5CDD505-2E9C-101B-9397-08002B2CF9AE}" pid="6" name="MSIP_Label_88c63503-0fb3-4712-a32e-7ecb4b7d79e8_Name">
    <vt:lpwstr>Internal</vt:lpwstr>
  </property>
  <property fmtid="{D5CDD505-2E9C-101B-9397-08002B2CF9AE}" pid="7" name="MSIP_Label_88c63503-0fb3-4712-a32e-7ecb4b7d79e8_Application">
    <vt:lpwstr>Microsoft Azure Information Protection</vt:lpwstr>
  </property>
  <property fmtid="{D5CDD505-2E9C-101B-9397-08002B2CF9AE}" pid="8" name="MSIP_Label_88c63503-0fb3-4712-a32e-7ecb4b7d79e8_Extended_MSFT_Method">
    <vt:lpwstr>Automatic</vt:lpwstr>
  </property>
  <property fmtid="{D5CDD505-2E9C-101B-9397-08002B2CF9AE}" pid="9" name="TD_Classification">
    <vt:lpwstr>Internal</vt:lpwstr>
  </property>
</Properties>
</file>
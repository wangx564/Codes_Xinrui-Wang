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ECO421\assignment\"/>
    </mc:Choice>
  </mc:AlternateContent>
  <xr:revisionPtr revIDLastSave="0" documentId="13_ncr:1_{78415F2B-1ACE-4B38-A000-2066DB9EE338}" xr6:coauthVersionLast="45" xr6:coauthVersionMax="45" xr10:uidLastSave="{00000000-0000-0000-0000-000000000000}"/>
  <bookViews>
    <workbookView xWindow="-110" yWindow="-110" windowWidth="19420" windowHeight="10560" tabRatio="915" activeTab="14" xr2:uid="{54D16793-DBCF-AB4B-8298-B7ACBD7BC536}"/>
  </bookViews>
  <sheets>
    <sheet name="Intro" sheetId="1" r:id="rId1"/>
    <sheet name="assignment" sheetId="2" r:id="rId2"/>
    <sheet name="Stock RNN" sheetId="13" r:id="rId3"/>
    <sheet name="Stock DJ" sheetId="14" r:id="rId4"/>
    <sheet name="Stock AOL" sheetId="15" r:id="rId5"/>
    <sheet name="IRGBP" sheetId="4" r:id="rId6"/>
    <sheet name="IREUR" sheetId="5" r:id="rId7"/>
    <sheet name="IRUSD" sheetId="6" r:id="rId8"/>
    <sheet name="IRCAD" sheetId="7" r:id="rId9"/>
    <sheet name="IRJPY" sheetId="8" r:id="rId10"/>
    <sheet name="IRHKD" sheetId="9" r:id="rId11"/>
    <sheet name="IRAUD" sheetId="10" r:id="rId12"/>
    <sheet name="SpotFX" sheetId="11" r:id="rId13"/>
    <sheet name="Data" sheetId="3" r:id="rId14"/>
    <sheet name="Result" sheetId="22" r:id="rId15"/>
  </sheets>
  <functionGroups builtInGroupCount="19"/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bb">[1]Data!$E$2:$E$5</definedName>
    <definedName name="bs" localSheetId="9">[2]Data!$E$2:$E$5</definedName>
    <definedName name="bs">[3]Data!#REF!</definedName>
    <definedName name="cflow1">#REF!</definedName>
    <definedName name="cflow2">#REF!</definedName>
    <definedName name="ComRate">[4]Lookup!$F$5:$G$7</definedName>
    <definedName name="curr">#REF!</definedName>
    <definedName name="dvec">#REF!</definedName>
    <definedName name="Index">[4]Beta!$C$5:$C$64</definedName>
    <definedName name="invA">[4]MatDef!$I$17:$K$19</definedName>
    <definedName name="ISSUEID">[3]bondmkt!$G$2:$G$266</definedName>
    <definedName name="lookup">#REF!</definedName>
    <definedName name="regoutput">[4]Beta!$E$8:$M$28</definedName>
    <definedName name="SessionDate">[5]Intro!$F$5</definedName>
    <definedName name="SessionDate_1">[6]Intro!$F$5</definedName>
    <definedName name="ShareA">[4]Beta!$B$5:$B$64</definedName>
    <definedName name="spotCAD">#REF!</definedName>
    <definedName name="spotEUR">#REF!</definedName>
    <definedName name="spotGBP">#REF!</definedName>
    <definedName name="spotHKD">#REF!</definedName>
    <definedName name="spotTWD">#REF!</definedName>
    <definedName name="table1">#REF!</definedName>
    <definedName name="Y">[4]MatDef!$C$21:$C$23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0" l="1"/>
  <c r="B6" i="9"/>
  <c r="B6" i="8"/>
  <c r="B6" i="7"/>
  <c r="B6" i="6"/>
  <c r="B6" i="4"/>
  <c r="B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AEC87945-7E35-F541-A5F9-679501435FDE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F285CF17-B6CD-F142-AFEE-D9F305B5B0DC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44831E7B-3682-EB4F-B096-90355E1E62AC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sharedStrings.xml><?xml version="1.0" encoding="utf-8"?>
<sst xmlns="http://schemas.openxmlformats.org/spreadsheetml/2006/main" count="217" uniqueCount="96">
  <si>
    <t xml:space="preserve"> Inputs</t>
  </si>
  <si>
    <t>&lt;-  click to read instruction</t>
  </si>
  <si>
    <t>Note: assume today's date:</t>
  </si>
  <si>
    <t>AOL EQ Fwd</t>
  </si>
  <si>
    <t>SubVCV3</t>
  </si>
  <si>
    <t>Output</t>
  </si>
  <si>
    <t>Result</t>
  </si>
  <si>
    <t>IRGBP</t>
  </si>
  <si>
    <t>Name</t>
  </si>
  <si>
    <t>Interpolate Term</t>
  </si>
  <si>
    <t>@Linear()</t>
  </si>
  <si>
    <t>ID</t>
  </si>
  <si>
    <t>eco2508h:IRGBP</t>
  </si>
  <si>
    <t>Curve Unit</t>
  </si>
  <si>
    <t>SMP actual/365</t>
  </si>
  <si>
    <t>Type</t>
  </si>
  <si>
    <t>Zero</t>
  </si>
  <si>
    <t>RiskMetrics Link</t>
  </si>
  <si>
    <t>Datum</t>
  </si>
  <si>
    <t>Term/Time</t>
  </si>
  <si>
    <t>IREUR</t>
  </si>
  <si>
    <t>eco2508h:IREUR</t>
  </si>
  <si>
    <t>IRUSD</t>
  </si>
  <si>
    <t>eco2508h:IRUSD</t>
  </si>
  <si>
    <t>Origin</t>
  </si>
  <si>
    <t>IRCAD</t>
  </si>
  <si>
    <t>eco2508h:IRCAD</t>
  </si>
  <si>
    <t xml:space="preserve">Origin </t>
  </si>
  <si>
    <t>IRJPY</t>
  </si>
  <si>
    <t>Base</t>
  </si>
  <si>
    <t>IRHKD</t>
  </si>
  <si>
    <t>IRAUD</t>
  </si>
  <si>
    <t>IRTWD</t>
  </si>
  <si>
    <t>Spot Exchange Rate</t>
  </si>
  <si>
    <t>From / To</t>
  </si>
  <si>
    <t>USD</t>
  </si>
  <si>
    <t>CAD</t>
  </si>
  <si>
    <t>EUR</t>
  </si>
  <si>
    <t>GBP</t>
  </si>
  <si>
    <t>HKD</t>
  </si>
  <si>
    <t>AUD</t>
  </si>
  <si>
    <t>JPY</t>
  </si>
  <si>
    <t>US Discount Curve:</t>
  </si>
  <si>
    <t>CAD Discount Curve:</t>
  </si>
  <si>
    <t xml:space="preserve">EUR Discount Curve: </t>
  </si>
  <si>
    <t xml:space="preserve">GBP Discount Curve: </t>
  </si>
  <si>
    <t xml:space="preserve">HKD Discount Curve: </t>
  </si>
  <si>
    <t xml:space="preserve">TWD Discount Curve: </t>
  </si>
  <si>
    <t xml:space="preserve">JPY Discount Curve: </t>
  </si>
  <si>
    <t>Stock:</t>
  </si>
  <si>
    <t>Common Stock</t>
  </si>
  <si>
    <t>RNN</t>
  </si>
  <si>
    <t>Position Units</t>
  </si>
  <si>
    <t>Currency</t>
  </si>
  <si>
    <t>Spot Price</t>
  </si>
  <si>
    <t>Discount Curve</t>
  </si>
  <si>
    <t>Betas</t>
  </si>
  <si>
    <t>Risk Factors</t>
  </si>
  <si>
    <t>Pricing Model</t>
  </si>
  <si>
    <t>Equity Price</t>
  </si>
  <si>
    <t>DJ</t>
  </si>
  <si>
    <t>USD.SE</t>
  </si>
  <si>
    <t>CAPM</t>
  </si>
  <si>
    <t>AOL</t>
  </si>
  <si>
    <t>USD.APT1</t>
  </si>
  <si>
    <t>USD.APT2</t>
  </si>
  <si>
    <t>APT</t>
  </si>
  <si>
    <t>To_Curr</t>
  </si>
  <si>
    <t>Instruments</t>
  </si>
  <si>
    <t>VCV</t>
  </si>
  <si>
    <t>Trading Portfolio</t>
  </si>
  <si>
    <t>Bond Portfolio</t>
  </si>
  <si>
    <t>FX Fwd</t>
  </si>
  <si>
    <t>CAD</t>
    <phoneticPr fontId="0" type="noConversion"/>
  </si>
  <si>
    <t>Trading Portfolio 1</t>
  </si>
  <si>
    <t>Bond Portfolio 1</t>
  </si>
  <si>
    <t>USDEUR FX Fwd</t>
  </si>
  <si>
    <t>EUR</t>
    <phoneticPr fontId="0" type="noConversion"/>
  </si>
  <si>
    <t>DJ EQ Fwd</t>
  </si>
  <si>
    <t>Trading Portfolio 2</t>
  </si>
  <si>
    <t>Bond Portfolio 2</t>
  </si>
  <si>
    <t>CADUSD FX Fwd</t>
  </si>
  <si>
    <t>USD</t>
    <phoneticPr fontId="0" type="noConversion"/>
  </si>
  <si>
    <t>RNN EQ Fwd</t>
  </si>
  <si>
    <t>Trading Portfolio 3</t>
  </si>
  <si>
    <t>EURCAD FX Fwd</t>
  </si>
  <si>
    <t>GBP</t>
    <phoneticPr fontId="0" type="noConversion"/>
  </si>
  <si>
    <t>Trading Portfolio 4</t>
  </si>
  <si>
    <t>Trading Portfolio 5</t>
  </si>
  <si>
    <t>Trading Portfolio 6</t>
  </si>
  <si>
    <t>Trading Portfolio 7</t>
  </si>
  <si>
    <t>Stock RNN</t>
  </si>
  <si>
    <t>Stock DJ</t>
  </si>
  <si>
    <t>Stock AOL</t>
  </si>
  <si>
    <t>eco2508</t>
  </si>
  <si>
    <r>
      <t xml:space="preserve">Requirement: common stock worksheet name is displayed in dropdown list B3. Please calculate the selected </t>
    </r>
    <r>
      <rPr>
        <sz val="18"/>
        <color rgb="FFFF0000"/>
        <rFont val="Calibri"/>
        <family val="2"/>
        <scheme val="minor"/>
      </rPr>
      <t>stock position VaR maps</t>
    </r>
    <r>
      <rPr>
        <sz val="18"/>
        <color theme="1"/>
        <rFont val="Calibri"/>
        <family val="2"/>
        <scheme val="minor"/>
      </rPr>
      <t xml:space="preserve"> and output to the </t>
    </r>
    <r>
      <rPr>
        <sz val="18"/>
        <color rgb="FFFF0000"/>
        <rFont val="Calibri"/>
        <family val="2"/>
        <scheme val="minor"/>
      </rPr>
      <t>first 2 rows</t>
    </r>
    <r>
      <rPr>
        <sz val="18"/>
        <color theme="1"/>
        <rFont val="Calibri"/>
        <family val="2"/>
        <scheme val="minor"/>
      </rPr>
      <t xml:space="preserve"> of the output sheet name given in C3.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</si>
</sst>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0000000000"/>
    <numFmt numFmtId="166" formatCode="0.000000"/>
    <numFmt numFmtId="167" formatCode="[$-409]d\-mmm\-yy;@"/>
  </numFmts>
  <fonts count="3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2"/>
      <color rgb="FF00B050"/>
      <name val="Arial"/>
      <family val="2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16"/>
      <name val="Arial"/>
      <family val="2"/>
    </font>
    <font>
      <b/>
      <sz val="16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00"/>
      <name val="Calibri"/>
      <family val="2"/>
    </font>
    <font>
      <sz val="18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7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6" fillId="0" borderId="0"/>
  </cellStyleXfs>
  <cellXfs count="75">
    <xf numFmtId="0" fontId="0" fillId="0" borderId="0" xfId="0"/>
    <xf numFmtId="0" fontId="4" fillId="0" borderId="0" xfId="1" applyAlignment="1" applyProtection="1"/>
    <xf numFmtId="0" fontId="7" fillId="0" borderId="0" xfId="2" applyFont="1"/>
    <xf numFmtId="0" fontId="6" fillId="0" borderId="0" xfId="2"/>
    <xf numFmtId="0" fontId="8" fillId="0" borderId="0" xfId="2" applyFont="1"/>
    <xf numFmtId="0" fontId="9" fillId="0" borderId="0" xfId="2" applyFont="1" applyAlignment="1">
      <alignment horizontal="left" vertical="top"/>
    </xf>
    <xf numFmtId="0" fontId="6" fillId="0" borderId="0" xfId="2" applyAlignment="1">
      <alignment horizontal="left" vertical="top"/>
    </xf>
    <xf numFmtId="0" fontId="10" fillId="0" borderId="0" xfId="2" applyFont="1"/>
    <xf numFmtId="0" fontId="11" fillId="0" borderId="0" xfId="2" applyFont="1"/>
    <xf numFmtId="0" fontId="12" fillId="0" borderId="1" xfId="2" applyFont="1" applyBorder="1"/>
    <xf numFmtId="164" fontId="12" fillId="0" borderId="2" xfId="2" applyNumberFormat="1" applyFont="1" applyBorder="1"/>
    <xf numFmtId="0" fontId="13" fillId="0" borderId="0" xfId="0" applyFont="1" applyAlignment="1">
      <alignment horizontal="center" wrapText="1"/>
    </xf>
    <xf numFmtId="0" fontId="15" fillId="0" borderId="0" xfId="0" applyFont="1" applyAlignment="1">
      <alignment horizontal="left" indent="1"/>
    </xf>
    <xf numFmtId="0" fontId="16" fillId="0" borderId="0" xfId="0" applyFont="1"/>
    <xf numFmtId="0" fontId="17" fillId="0" borderId="0" xfId="3"/>
    <xf numFmtId="0" fontId="18" fillId="2" borderId="3" xfId="3" applyFont="1" applyFill="1" applyBorder="1"/>
    <xf numFmtId="0" fontId="17" fillId="0" borderId="3" xfId="3" applyBorder="1"/>
    <xf numFmtId="0" fontId="5" fillId="0" borderId="3" xfId="4" applyBorder="1" applyAlignment="1" applyProtection="1"/>
    <xf numFmtId="14" fontId="19" fillId="0" borderId="3" xfId="3" applyNumberFormat="1" applyFont="1" applyBorder="1"/>
    <xf numFmtId="0" fontId="18" fillId="0" borderId="3" xfId="3" applyFont="1" applyBorder="1"/>
    <xf numFmtId="0" fontId="6" fillId="0" borderId="0" xfId="5"/>
    <xf numFmtId="0" fontId="6" fillId="0" borderId="5" xfId="5" applyBorder="1"/>
    <xf numFmtId="0" fontId="6" fillId="0" borderId="6" xfId="5" applyBorder="1"/>
    <xf numFmtId="0" fontId="6" fillId="0" borderId="7" xfId="5" applyBorder="1"/>
    <xf numFmtId="0" fontId="6" fillId="0" borderId="8" xfId="5" applyBorder="1"/>
    <xf numFmtId="0" fontId="6" fillId="0" borderId="3" xfId="5" applyBorder="1"/>
    <xf numFmtId="0" fontId="6" fillId="0" borderId="9" xfId="5" applyBorder="1"/>
    <xf numFmtId="0" fontId="6" fillId="0" borderId="10" xfId="5" applyBorder="1"/>
    <xf numFmtId="0" fontId="5" fillId="0" borderId="9" xfId="4" applyBorder="1" applyAlignment="1" applyProtection="1"/>
    <xf numFmtId="0" fontId="6" fillId="0" borderId="11" xfId="5" applyBorder="1"/>
    <xf numFmtId="14" fontId="6" fillId="0" borderId="10" xfId="5" applyNumberFormat="1" applyBorder="1"/>
    <xf numFmtId="0" fontId="6" fillId="0" borderId="12" xfId="5" applyBorder="1"/>
    <xf numFmtId="0" fontId="11" fillId="0" borderId="3" xfId="5" applyFont="1" applyBorder="1"/>
    <xf numFmtId="0" fontId="11" fillId="0" borderId="7" xfId="5" applyFont="1" applyBorder="1"/>
    <xf numFmtId="0" fontId="11" fillId="0" borderId="0" xfId="5" applyFont="1"/>
    <xf numFmtId="165" fontId="6" fillId="0" borderId="0" xfId="5" applyNumberFormat="1"/>
    <xf numFmtId="3" fontId="6" fillId="0" borderId="3" xfId="5" applyNumberFormat="1" applyBorder="1"/>
    <xf numFmtId="0" fontId="20" fillId="0" borderId="0" xfId="3" applyFont="1"/>
    <xf numFmtId="0" fontId="20" fillId="0" borderId="0" xfId="6" applyFont="1"/>
    <xf numFmtId="0" fontId="24" fillId="0" borderId="3" xfId="3" applyFont="1" applyBorder="1"/>
    <xf numFmtId="0" fontId="11" fillId="0" borderId="3" xfId="3" applyFont="1" applyBorder="1" applyAlignment="1">
      <alignment horizontal="center"/>
    </xf>
    <xf numFmtId="0" fontId="11" fillId="0" borderId="0" xfId="3" applyFont="1" applyAlignment="1">
      <alignment horizontal="center"/>
    </xf>
    <xf numFmtId="0" fontId="11" fillId="0" borderId="0" xfId="6" applyFont="1" applyAlignment="1">
      <alignment horizontal="center"/>
    </xf>
    <xf numFmtId="0" fontId="11" fillId="0" borderId="3" xfId="3" applyFont="1" applyBorder="1"/>
    <xf numFmtId="0" fontId="17" fillId="0" borderId="3" xfId="3" applyBorder="1" applyAlignment="1">
      <alignment horizontal="center"/>
    </xf>
    <xf numFmtId="0" fontId="17" fillId="0" borderId="0" xfId="3" applyAlignment="1">
      <alignment horizontal="center"/>
    </xf>
    <xf numFmtId="0" fontId="6" fillId="0" borderId="0" xfId="6" applyAlignment="1">
      <alignment horizontal="center"/>
    </xf>
    <xf numFmtId="166" fontId="17" fillId="0" borderId="3" xfId="3" applyNumberFormat="1" applyBorder="1"/>
    <xf numFmtId="0" fontId="6" fillId="0" borderId="0" xfId="6"/>
    <xf numFmtId="0" fontId="11" fillId="0" borderId="0" xfId="6" applyFont="1" applyAlignment="1">
      <alignment horizontal="right"/>
    </xf>
    <xf numFmtId="0" fontId="11" fillId="0" borderId="0" xfId="3" applyFont="1"/>
    <xf numFmtId="0" fontId="5" fillId="0" borderId="3" xfId="4" applyBorder="1" applyAlignment="1" applyProtection="1">
      <alignment horizontal="right"/>
    </xf>
    <xf numFmtId="0" fontId="6" fillId="0" borderId="3" xfId="5" applyBorder="1" applyAlignment="1">
      <alignment horizontal="right"/>
    </xf>
    <xf numFmtId="0" fontId="6" fillId="0" borderId="0" xfId="5" applyAlignment="1">
      <alignment horizontal="right"/>
    </xf>
    <xf numFmtId="0" fontId="5" fillId="0" borderId="14" xfId="4" applyBorder="1" applyAlignment="1" applyProtection="1">
      <alignment horizontal="right"/>
    </xf>
    <xf numFmtId="0" fontId="18" fillId="0" borderId="0" xfId="0" applyFont="1"/>
    <xf numFmtId="0" fontId="18" fillId="0" borderId="3" xfId="0" applyFont="1" applyBorder="1" applyAlignment="1">
      <alignment horizontal="center"/>
    </xf>
    <xf numFmtId="167" fontId="0" fillId="0" borderId="0" xfId="0" applyNumberFormat="1"/>
    <xf numFmtId="0" fontId="18" fillId="0" borderId="0" xfId="0" applyFont="1" applyFill="1" applyBorder="1"/>
    <xf numFmtId="0" fontId="27" fillId="0" borderId="15" xfId="0" applyFont="1" applyBorder="1" applyAlignment="1">
      <alignment horizontal="center"/>
    </xf>
    <xf numFmtId="0" fontId="27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 wrapText="1"/>
    </xf>
    <xf numFmtId="0" fontId="14" fillId="0" borderId="18" xfId="0" applyFont="1" applyBorder="1" applyAlignment="1">
      <alignment horizontal="center" wrapText="1"/>
    </xf>
    <xf numFmtId="0" fontId="3" fillId="0" borderId="0" xfId="3" applyFont="1"/>
    <xf numFmtId="0" fontId="2" fillId="0" borderId="0" xfId="3" applyFont="1"/>
    <xf numFmtId="0" fontId="1" fillId="0" borderId="0" xfId="3" applyFont="1"/>
    <xf numFmtId="0" fontId="13" fillId="0" borderId="19" xfId="0" applyFont="1" applyBorder="1" applyAlignment="1">
      <alignment horizontal="left" vertical="center" wrapText="1"/>
    </xf>
    <xf numFmtId="0" fontId="13" fillId="0" borderId="20" xfId="0" applyFont="1" applyBorder="1" applyAlignment="1">
      <alignment horizontal="left" vertical="center" wrapText="1"/>
    </xf>
    <xf numFmtId="0" fontId="13" fillId="0" borderId="21" xfId="0" applyFont="1" applyBorder="1" applyAlignment="1">
      <alignment horizontal="left" vertical="center" wrapText="1"/>
    </xf>
    <xf numFmtId="0" fontId="25" fillId="0" borderId="0" xfId="5" applyFont="1" applyAlignment="1">
      <alignment horizontal="center"/>
    </xf>
    <xf numFmtId="0" fontId="26" fillId="0" borderId="0" xfId="3" applyFont="1" applyAlignment="1">
      <alignment horizontal="center" wrapText="1"/>
    </xf>
    <xf numFmtId="0" fontId="20" fillId="0" borderId="0" xfId="5" applyFont="1" applyAlignment="1">
      <alignment horizontal="center"/>
    </xf>
    <xf numFmtId="0" fontId="20" fillId="0" borderId="4" xfId="5" applyFont="1" applyBorder="1" applyAlignment="1">
      <alignment horizontal="center"/>
    </xf>
    <xf numFmtId="0" fontId="23" fillId="0" borderId="0" xfId="3" applyFont="1" applyAlignment="1">
      <alignment horizontal="center" vertical="center"/>
    </xf>
    <xf numFmtId="0" fontId="23" fillId="0" borderId="13" xfId="3" applyFont="1" applyBorder="1" applyAlignment="1">
      <alignment horizontal="center" vertical="center"/>
    </xf>
  </cellXfs>
  <cellStyles count="7">
    <cellStyle name="Hyperlink" xfId="1" builtinId="8"/>
    <cellStyle name="Hyperlink 2" xfId="4" xr:uid="{C9105E3F-0DEF-904A-BE7F-C5B072941C11}"/>
    <cellStyle name="Normal" xfId="0" builtinId="0"/>
    <cellStyle name="Normal 2" xfId="3" xr:uid="{5B417AB5-D79A-E14B-BB61-6F8C4C95800D}"/>
    <cellStyle name="Normal 2 2" xfId="5" xr:uid="{C4D69920-5EFA-C840-94A7-1FA29F5B3BD5}"/>
    <cellStyle name="Normal 4" xfId="2" xr:uid="{6D48AC9B-0CD2-F441-9509-3B9B72EE4626}"/>
    <cellStyle name="Normal 5" xfId="6" xr:uid="{EEA734C9-AB8C-114C-AD10-25C06408BDE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5</xdr:row>
          <xdr:rowOff>0</xdr:rowOff>
        </xdr:from>
        <xdr:to>
          <xdr:col>2</xdr:col>
          <xdr:colOff>711200</xdr:colOff>
          <xdr:row>6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CA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Edit2020ECO2508S/Topic-Projects/2020/p2-MktVaR/groupname_p2_solution.v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D:/AMFExce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Post2020ECO2508S/for-posting/VBA/assignments/a7-DurationGap-solusion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Volumes/GoogleDrive/My%20Drive/Study/Classes/Risk/Risk%20project/group#-p1-ALM-StressModule-Jes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bondmkt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Beta"/>
      <sheetName val="MatDef"/>
      <sheetName val="Frequency"/>
    </sheetNames>
    <sheetDataSet>
      <sheetData sheetId="0" refreshError="1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1" refreshError="1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2" refreshError="1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2C0B-4FE4-8C4D-AED7-CAC7E0F0075F}">
  <sheetPr codeName="Sheet1"/>
  <dimension ref="A1:F5"/>
  <sheetViews>
    <sheetView workbookViewId="0">
      <selection activeCell="F24" sqref="F24"/>
    </sheetView>
  </sheetViews>
  <sheetFormatPr defaultColWidth="10.6640625" defaultRowHeight="15.5" x14ac:dyDescent="0.35"/>
  <cols>
    <col min="6" max="6" width="27.83203125" bestFit="1" customWidth="1"/>
  </cols>
  <sheetData>
    <row r="1" spans="1:6" x14ac:dyDescent="0.35">
      <c r="A1" s="1" t="s">
        <v>0</v>
      </c>
      <c r="B1" s="2" t="s">
        <v>1</v>
      </c>
      <c r="C1" s="3"/>
      <c r="D1" s="3"/>
      <c r="E1" s="3"/>
      <c r="F1" s="3"/>
    </row>
    <row r="2" spans="1:6" x14ac:dyDescent="0.35">
      <c r="A2" s="4"/>
      <c r="B2" s="3"/>
      <c r="C2" s="3"/>
      <c r="D2" s="3"/>
      <c r="E2" s="3"/>
      <c r="F2" s="3"/>
    </row>
    <row r="3" spans="1:6" ht="16" thickBot="1" x14ac:dyDescent="0.4">
      <c r="A3" s="5"/>
      <c r="B3" s="6"/>
      <c r="C3" s="3"/>
      <c r="D3" s="3"/>
      <c r="E3" s="3"/>
      <c r="F3" s="3"/>
    </row>
    <row r="4" spans="1:6" x14ac:dyDescent="0.35">
      <c r="A4" s="7"/>
      <c r="B4" s="3"/>
      <c r="C4" s="8"/>
      <c r="D4" s="3"/>
      <c r="E4" s="3"/>
      <c r="F4" s="9" t="s">
        <v>2</v>
      </c>
    </row>
    <row r="5" spans="1:6" ht="16" thickBot="1" x14ac:dyDescent="0.4">
      <c r="A5" s="3"/>
      <c r="B5" s="1"/>
      <c r="C5" s="8"/>
      <c r="D5" s="3"/>
      <c r="E5" s="3"/>
      <c r="F5" s="10">
        <v>41657</v>
      </c>
    </row>
  </sheetData>
  <hyperlinks>
    <hyperlink ref="A1" location="Project2!A1" display="Project 2 Inputs" xr:uid="{292A780A-D7A3-2E40-80BA-A06D3E50408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F3CBC-D1CC-124B-9756-B2FCB4979775}">
  <sheetPr codeName="Sheet2"/>
  <dimension ref="A1:E3"/>
  <sheetViews>
    <sheetView workbookViewId="0">
      <selection activeCell="B3" sqref="B3:C3"/>
    </sheetView>
  </sheetViews>
  <sheetFormatPr defaultColWidth="10.6640625" defaultRowHeight="15.5" x14ac:dyDescent="0.35"/>
  <cols>
    <col min="2" max="2" width="12.5" bestFit="1" customWidth="1"/>
    <col min="3" max="3" width="14" customWidth="1"/>
  </cols>
  <sheetData>
    <row r="1" spans="1:5" ht="147" customHeight="1" thickBot="1" x14ac:dyDescent="0.4">
      <c r="A1" s="66" t="s">
        <v>95</v>
      </c>
      <c r="B1" s="67"/>
      <c r="C1" s="67"/>
      <c r="D1" s="67"/>
      <c r="E1" s="68"/>
    </row>
    <row r="2" spans="1:5" ht="24" thickBot="1" x14ac:dyDescent="0.6">
      <c r="A2" s="11"/>
      <c r="B2" s="61" t="s">
        <v>49</v>
      </c>
      <c r="C2" s="62" t="s">
        <v>5</v>
      </c>
      <c r="D2" s="11"/>
      <c r="E2" s="11"/>
    </row>
    <row r="3" spans="1:5" ht="19" thickBot="1" x14ac:dyDescent="0.5">
      <c r="A3" s="12"/>
      <c r="B3" s="59" t="s">
        <v>93</v>
      </c>
      <c r="C3" s="60" t="s">
        <v>6</v>
      </c>
      <c r="D3" s="13"/>
      <c r="E3" s="13"/>
    </row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estEQVaRMaps">
                <anchor moveWithCells="1" sizeWithCells="1">
                  <from>
                    <xdr:col>1</xdr:col>
                    <xdr:colOff>139700</xdr:colOff>
                    <xdr:row>5</xdr:row>
                    <xdr:rowOff>0</xdr:rowOff>
                  </from>
                  <to>
                    <xdr:col>2</xdr:col>
                    <xdr:colOff>711200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B1A818-7D71-0D46-B65C-5E402C98D729}">
          <x14:formula1>
            <xm:f>Data!$G$2:$G$11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1900-0438-3B4C-A07C-F7453E910AB8}">
  <sheetPr codeName="Sheet24"/>
  <dimension ref="A1:B11"/>
  <sheetViews>
    <sheetView workbookViewId="0">
      <selection activeCell="B22" sqref="B22"/>
    </sheetView>
  </sheetViews>
  <sheetFormatPr defaultColWidth="10.83203125" defaultRowHeight="14.5" x14ac:dyDescent="0.35"/>
  <cols>
    <col min="1" max="1" width="13" style="14" bestFit="1" customWidth="1"/>
    <col min="2" max="2" width="19.6640625" style="14" customWidth="1"/>
    <col min="3" max="16384" width="10.83203125" style="14"/>
  </cols>
  <sheetData>
    <row r="1" spans="1:2" x14ac:dyDescent="0.35">
      <c r="A1" s="69" t="s">
        <v>50</v>
      </c>
      <c r="B1" s="69"/>
    </row>
    <row r="2" spans="1:2" x14ac:dyDescent="0.35">
      <c r="A2" s="69"/>
      <c r="B2" s="69"/>
    </row>
    <row r="3" spans="1:2" x14ac:dyDescent="0.35">
      <c r="A3" s="32" t="s">
        <v>8</v>
      </c>
      <c r="B3" s="52" t="s">
        <v>51</v>
      </c>
    </row>
    <row r="4" spans="1:2" x14ac:dyDescent="0.35">
      <c r="A4" s="32" t="s">
        <v>52</v>
      </c>
      <c r="B4" s="52">
        <v>1</v>
      </c>
    </row>
    <row r="5" spans="1:2" x14ac:dyDescent="0.35">
      <c r="A5" s="32" t="s">
        <v>15</v>
      </c>
      <c r="B5" s="52" t="s">
        <v>50</v>
      </c>
    </row>
    <row r="6" spans="1:2" x14ac:dyDescent="0.35">
      <c r="A6" s="32" t="s">
        <v>53</v>
      </c>
      <c r="B6" s="52" t="s">
        <v>35</v>
      </c>
    </row>
    <row r="7" spans="1:2" x14ac:dyDescent="0.35">
      <c r="A7" s="32" t="s">
        <v>54</v>
      </c>
      <c r="B7" s="52">
        <v>1.24</v>
      </c>
    </row>
    <row r="8" spans="1:2" x14ac:dyDescent="0.35">
      <c r="A8" s="32" t="s">
        <v>55</v>
      </c>
      <c r="B8" s="51" t="s">
        <v>22</v>
      </c>
    </row>
    <row r="9" spans="1:2" x14ac:dyDescent="0.35">
      <c r="A9" s="32" t="s">
        <v>56</v>
      </c>
      <c r="B9" s="52"/>
    </row>
    <row r="10" spans="1:2" x14ac:dyDescent="0.35">
      <c r="A10" s="32" t="s">
        <v>57</v>
      </c>
      <c r="B10" s="52"/>
    </row>
    <row r="11" spans="1:2" x14ac:dyDescent="0.35">
      <c r="A11" s="32" t="s">
        <v>58</v>
      </c>
      <c r="B11" s="52" t="s">
        <v>59</v>
      </c>
    </row>
  </sheetData>
  <mergeCells count="1">
    <mergeCell ref="A1:B2"/>
  </mergeCells>
  <hyperlinks>
    <hyperlink ref="B8" location="IRUSD!A1" display="IRUSD" xr:uid="{417126ED-F506-A14F-8E05-7CD6DB4A74C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1FEEA-9003-014E-B33F-3085A29F37E8}">
  <sheetPr codeName="Sheet16"/>
  <dimension ref="A1:D11"/>
  <sheetViews>
    <sheetView workbookViewId="0">
      <selection activeCell="E11" sqref="E11"/>
    </sheetView>
  </sheetViews>
  <sheetFormatPr defaultColWidth="8.83203125" defaultRowHeight="14.5" x14ac:dyDescent="0.35"/>
  <cols>
    <col min="1" max="1" width="16.83203125" style="14" customWidth="1"/>
    <col min="2" max="2" width="17" style="14" customWidth="1"/>
    <col min="3" max="3" width="7.33203125" style="14" customWidth="1"/>
    <col min="4" max="16384" width="8.83203125" style="14"/>
  </cols>
  <sheetData>
    <row r="1" spans="1:4" x14ac:dyDescent="0.35">
      <c r="A1" s="69" t="s">
        <v>50</v>
      </c>
      <c r="B1" s="69"/>
      <c r="C1" s="20"/>
    </row>
    <row r="2" spans="1:4" x14ac:dyDescent="0.35">
      <c r="A2" s="69"/>
      <c r="B2" s="69"/>
      <c r="C2" s="20"/>
    </row>
    <row r="3" spans="1:4" x14ac:dyDescent="0.35">
      <c r="A3" s="32" t="s">
        <v>8</v>
      </c>
      <c r="B3" s="52" t="s">
        <v>60</v>
      </c>
      <c r="C3" s="20"/>
    </row>
    <row r="4" spans="1:4" x14ac:dyDescent="0.35">
      <c r="A4" s="32" t="s">
        <v>52</v>
      </c>
      <c r="B4" s="52">
        <v>1</v>
      </c>
      <c r="C4" s="20"/>
    </row>
    <row r="5" spans="1:4" x14ac:dyDescent="0.35">
      <c r="A5" s="32" t="s">
        <v>15</v>
      </c>
      <c r="B5" s="52" t="s">
        <v>50</v>
      </c>
      <c r="C5" s="20"/>
    </row>
    <row r="6" spans="1:4" x14ac:dyDescent="0.35">
      <c r="A6" s="32" t="s">
        <v>53</v>
      </c>
      <c r="B6" s="52" t="s">
        <v>35</v>
      </c>
      <c r="C6" s="20"/>
    </row>
    <row r="7" spans="1:4" x14ac:dyDescent="0.35">
      <c r="A7" s="32" t="s">
        <v>54</v>
      </c>
      <c r="B7" s="52">
        <v>220</v>
      </c>
      <c r="C7" s="20"/>
    </row>
    <row r="8" spans="1:4" x14ac:dyDescent="0.35">
      <c r="A8" s="32" t="s">
        <v>55</v>
      </c>
      <c r="B8" s="51" t="s">
        <v>22</v>
      </c>
      <c r="C8" s="20"/>
    </row>
    <row r="9" spans="1:4" x14ac:dyDescent="0.35">
      <c r="A9" s="32" t="s">
        <v>56</v>
      </c>
      <c r="B9" s="52">
        <v>0.6</v>
      </c>
      <c r="C9" s="20"/>
    </row>
    <row r="10" spans="1:4" x14ac:dyDescent="0.35">
      <c r="A10" s="32" t="s">
        <v>57</v>
      </c>
      <c r="B10" s="52" t="s">
        <v>61</v>
      </c>
      <c r="C10" s="53"/>
    </row>
    <row r="11" spans="1:4" x14ac:dyDescent="0.35">
      <c r="A11" s="32" t="s">
        <v>58</v>
      </c>
      <c r="B11" s="52" t="s">
        <v>62</v>
      </c>
      <c r="D11" s="64"/>
    </row>
  </sheetData>
  <mergeCells count="1">
    <mergeCell ref="A1:B2"/>
  </mergeCells>
  <hyperlinks>
    <hyperlink ref="B8" location="IRUSD!A1" display="IRUSD" xr:uid="{3EC50A79-8C6A-1344-B878-AB7D2D20DB3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27218-18E8-7149-89B9-6F05E26B318D}">
  <sheetPr codeName="Sheet19"/>
  <dimension ref="A1:F11"/>
  <sheetViews>
    <sheetView workbookViewId="0">
      <selection activeCell="B17" sqref="B17"/>
    </sheetView>
  </sheetViews>
  <sheetFormatPr defaultColWidth="8.83203125" defaultRowHeight="14.5" x14ac:dyDescent="0.35"/>
  <cols>
    <col min="1" max="1" width="14.6640625" style="14" bestFit="1" customWidth="1"/>
    <col min="2" max="2" width="13.5" style="14" bestFit="1" customWidth="1"/>
    <col min="3" max="3" width="12" style="14" customWidth="1"/>
    <col min="4" max="16384" width="8.83203125" style="14"/>
  </cols>
  <sheetData>
    <row r="1" spans="1:6" x14ac:dyDescent="0.35">
      <c r="A1" s="69" t="s">
        <v>50</v>
      </c>
      <c r="B1" s="69"/>
      <c r="C1" s="20"/>
    </row>
    <row r="2" spans="1:6" x14ac:dyDescent="0.35">
      <c r="A2" s="69"/>
      <c r="B2" s="69"/>
      <c r="C2" s="20"/>
    </row>
    <row r="3" spans="1:6" x14ac:dyDescent="0.35">
      <c r="A3" s="32" t="s">
        <v>8</v>
      </c>
      <c r="B3" s="52" t="s">
        <v>63</v>
      </c>
      <c r="C3" s="20"/>
    </row>
    <row r="4" spans="1:6" x14ac:dyDescent="0.35">
      <c r="A4" s="32" t="s">
        <v>52</v>
      </c>
      <c r="B4" s="52">
        <v>1</v>
      </c>
      <c r="C4" s="20"/>
    </row>
    <row r="5" spans="1:6" x14ac:dyDescent="0.35">
      <c r="A5" s="32" t="s">
        <v>15</v>
      </c>
      <c r="B5" s="52" t="s">
        <v>50</v>
      </c>
      <c r="C5" s="20"/>
    </row>
    <row r="6" spans="1:6" x14ac:dyDescent="0.35">
      <c r="A6" s="32" t="s">
        <v>53</v>
      </c>
      <c r="B6" s="52" t="s">
        <v>35</v>
      </c>
      <c r="C6" s="20"/>
    </row>
    <row r="7" spans="1:6" x14ac:dyDescent="0.35">
      <c r="A7" s="32" t="s">
        <v>54</v>
      </c>
      <c r="B7" s="52">
        <v>23</v>
      </c>
      <c r="C7" s="20"/>
    </row>
    <row r="8" spans="1:6" x14ac:dyDescent="0.35">
      <c r="A8" s="32" t="s">
        <v>55</v>
      </c>
      <c r="B8" s="54" t="s">
        <v>22</v>
      </c>
      <c r="C8" s="20"/>
    </row>
    <row r="9" spans="1:6" x14ac:dyDescent="0.35">
      <c r="A9" s="32" t="s">
        <v>56</v>
      </c>
      <c r="B9" s="52">
        <v>1.2</v>
      </c>
      <c r="C9" s="25">
        <v>0.8</v>
      </c>
    </row>
    <row r="10" spans="1:6" x14ac:dyDescent="0.35">
      <c r="A10" s="32" t="s">
        <v>57</v>
      </c>
      <c r="B10" s="52" t="s">
        <v>64</v>
      </c>
      <c r="C10" s="52" t="s">
        <v>65</v>
      </c>
      <c r="D10" s="65"/>
      <c r="F10" s="64"/>
    </row>
    <row r="11" spans="1:6" x14ac:dyDescent="0.35">
      <c r="A11" s="32" t="s">
        <v>58</v>
      </c>
      <c r="B11" s="52" t="s">
        <v>66</v>
      </c>
    </row>
  </sheetData>
  <mergeCells count="1">
    <mergeCell ref="A1:B2"/>
  </mergeCells>
  <hyperlinks>
    <hyperlink ref="B8" location="IRUSD!A1" display="IRUSD" xr:uid="{16ABAC18-E044-6443-ADED-69706B8EE84C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334E-6826-3049-ACD6-68F2A8022BA3}">
  <sheetPr codeName="Sheet7">
    <tabColor rgb="FF7030A0"/>
  </sheetPr>
  <dimension ref="A1:D24"/>
  <sheetViews>
    <sheetView topLeftCell="A4" workbookViewId="0">
      <selection activeCell="E18" sqref="E18"/>
    </sheetView>
  </sheetViews>
  <sheetFormatPr defaultColWidth="8.83203125" defaultRowHeight="14.5" x14ac:dyDescent="0.35"/>
  <cols>
    <col min="1" max="1" width="10" style="14" bestFit="1" customWidth="1"/>
    <col min="2" max="2" width="15.83203125" style="14" customWidth="1"/>
    <col min="3" max="3" width="15.33203125" style="14" bestFit="1" customWidth="1"/>
    <col min="4" max="4" width="13.83203125" style="14" bestFit="1" customWidth="1"/>
    <col min="5" max="16384" width="8.83203125" style="14"/>
  </cols>
  <sheetData>
    <row r="1" spans="1:4" x14ac:dyDescent="0.35">
      <c r="A1" s="14" t="s">
        <v>7</v>
      </c>
    </row>
    <row r="3" spans="1:4" x14ac:dyDescent="0.35">
      <c r="A3" s="15" t="s">
        <v>8</v>
      </c>
      <c r="B3" s="16" t="s">
        <v>7</v>
      </c>
      <c r="C3" s="15" t="s">
        <v>9</v>
      </c>
      <c r="D3" s="16" t="s">
        <v>10</v>
      </c>
    </row>
    <row r="4" spans="1:4" x14ac:dyDescent="0.35">
      <c r="A4" s="15" t="s">
        <v>11</v>
      </c>
      <c r="B4" s="16" t="s">
        <v>12</v>
      </c>
      <c r="C4" s="15" t="s">
        <v>13</v>
      </c>
      <c r="D4" s="16" t="s">
        <v>14</v>
      </c>
    </row>
    <row r="5" spans="1:4" x14ac:dyDescent="0.35">
      <c r="A5" s="15" t="s">
        <v>15</v>
      </c>
      <c r="B5" s="16" t="s">
        <v>16</v>
      </c>
      <c r="C5" s="15" t="s">
        <v>17</v>
      </c>
      <c r="D5" s="17" t="s">
        <v>4</v>
      </c>
    </row>
    <row r="6" spans="1:4" x14ac:dyDescent="0.35">
      <c r="A6" s="15" t="s">
        <v>18</v>
      </c>
      <c r="B6" s="18">
        <f>Intro!F5</f>
        <v>41657</v>
      </c>
      <c r="C6" s="15"/>
      <c r="D6" s="16"/>
    </row>
    <row r="9" spans="1:4" x14ac:dyDescent="0.35">
      <c r="A9" s="19" t="s">
        <v>19</v>
      </c>
      <c r="B9" s="16">
        <v>0</v>
      </c>
    </row>
    <row r="10" spans="1:4" x14ac:dyDescent="0.35">
      <c r="A10" s="16">
        <v>1</v>
      </c>
      <c r="B10" s="16">
        <v>4.742479E-3</v>
      </c>
    </row>
    <row r="11" spans="1:4" x14ac:dyDescent="0.35">
      <c r="A11" s="16">
        <v>7</v>
      </c>
      <c r="B11" s="16">
        <v>4.7400146999999997E-3</v>
      </c>
    </row>
    <row r="12" spans="1:4" x14ac:dyDescent="0.35">
      <c r="A12" s="16">
        <v>30</v>
      </c>
      <c r="B12" s="16">
        <v>4.8795827999999998E-3</v>
      </c>
    </row>
    <row r="13" spans="1:4" x14ac:dyDescent="0.35">
      <c r="A13" s="16">
        <v>60</v>
      </c>
      <c r="B13" s="16">
        <v>4.9975178999999998E-3</v>
      </c>
    </row>
    <row r="14" spans="1:4" x14ac:dyDescent="0.35">
      <c r="A14" s="16">
        <v>90</v>
      </c>
      <c r="B14" s="16">
        <v>5.1509946999999997E-3</v>
      </c>
    </row>
    <row r="15" spans="1:4" x14ac:dyDescent="0.35">
      <c r="A15" s="16">
        <v>180</v>
      </c>
      <c r="B15" s="16">
        <v>5.8502857999999996E-3</v>
      </c>
    </row>
    <row r="16" spans="1:4" x14ac:dyDescent="0.35">
      <c r="A16" s="16">
        <v>270</v>
      </c>
      <c r="B16" s="16">
        <v>7.2184444999999998E-3</v>
      </c>
    </row>
    <row r="17" spans="1:4" x14ac:dyDescent="0.35">
      <c r="A17" s="16">
        <v>360</v>
      </c>
      <c r="B17" s="16">
        <v>8.6155782999999993E-3</v>
      </c>
    </row>
    <row r="18" spans="1:4" x14ac:dyDescent="0.35">
      <c r="A18" s="16">
        <v>730</v>
      </c>
      <c r="B18" s="16">
        <v>8.4103114000000003E-3</v>
      </c>
    </row>
    <row r="19" spans="1:4" x14ac:dyDescent="0.35">
      <c r="A19" s="16">
        <v>1095</v>
      </c>
      <c r="B19" s="16">
        <v>1.13554824E-2</v>
      </c>
    </row>
    <row r="20" spans="1:4" x14ac:dyDescent="0.35">
      <c r="A20" s="16">
        <v>1825</v>
      </c>
      <c r="B20" s="16">
        <v>1.7660728600000002E-2</v>
      </c>
    </row>
    <row r="21" spans="1:4" x14ac:dyDescent="0.35">
      <c r="A21" s="16">
        <v>3650</v>
      </c>
      <c r="B21" s="16">
        <v>2.8147917599999999E-2</v>
      </c>
    </row>
    <row r="22" spans="1:4" x14ac:dyDescent="0.35">
      <c r="A22" s="16">
        <v>5475</v>
      </c>
      <c r="B22" s="16">
        <v>3.26849024E-2</v>
      </c>
    </row>
    <row r="23" spans="1:4" x14ac:dyDescent="0.35">
      <c r="A23" s="16">
        <v>7300</v>
      </c>
      <c r="B23" s="16">
        <v>3.4563895800000001E-2</v>
      </c>
    </row>
    <row r="24" spans="1:4" x14ac:dyDescent="0.35">
      <c r="D24" s="63"/>
    </row>
  </sheetData>
  <hyperlinks>
    <hyperlink ref="D5" location="SubVCV3!A1" display="SubVCV3" xr:uid="{911BCD90-DD29-334E-82B3-28EDDD6690F8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F455B-B851-434E-AEE7-DFB50B7F444C}">
  <sheetPr codeName="Sheet8">
    <tabColor rgb="FF7030A0"/>
  </sheetPr>
  <dimension ref="A1:D23"/>
  <sheetViews>
    <sheetView workbookViewId="0">
      <selection activeCell="B6" sqref="B6"/>
    </sheetView>
  </sheetViews>
  <sheetFormatPr defaultColWidth="8.83203125" defaultRowHeight="14.5" x14ac:dyDescent="0.35"/>
  <cols>
    <col min="1" max="1" width="11.33203125" style="14" customWidth="1"/>
    <col min="2" max="2" width="14.5" style="14" customWidth="1"/>
    <col min="3" max="3" width="22" style="14" customWidth="1"/>
    <col min="4" max="4" width="16.1640625" style="14" customWidth="1"/>
    <col min="5" max="16384" width="8.83203125" style="14"/>
  </cols>
  <sheetData>
    <row r="1" spans="1:4" x14ac:dyDescent="0.35">
      <c r="A1" s="14" t="s">
        <v>20</v>
      </c>
    </row>
    <row r="3" spans="1:4" x14ac:dyDescent="0.35">
      <c r="A3" s="15" t="s">
        <v>8</v>
      </c>
      <c r="B3" s="16" t="s">
        <v>20</v>
      </c>
      <c r="C3" s="15" t="s">
        <v>9</v>
      </c>
      <c r="D3" s="16" t="s">
        <v>10</v>
      </c>
    </row>
    <row r="4" spans="1:4" x14ac:dyDescent="0.35">
      <c r="A4" s="15" t="s">
        <v>11</v>
      </c>
      <c r="B4" s="16" t="s">
        <v>21</v>
      </c>
      <c r="C4" s="15" t="s">
        <v>13</v>
      </c>
      <c r="D4" s="16" t="s">
        <v>14</v>
      </c>
    </row>
    <row r="5" spans="1:4" x14ac:dyDescent="0.35">
      <c r="A5" s="15" t="s">
        <v>15</v>
      </c>
      <c r="B5" s="16" t="s">
        <v>16</v>
      </c>
      <c r="C5" s="15" t="s">
        <v>17</v>
      </c>
      <c r="D5" s="17" t="s">
        <v>4</v>
      </c>
    </row>
    <row r="6" spans="1:4" x14ac:dyDescent="0.35">
      <c r="A6" s="15" t="s">
        <v>18</v>
      </c>
      <c r="B6" s="18">
        <f>Intro!F5</f>
        <v>41657</v>
      </c>
      <c r="C6" s="15"/>
      <c r="D6" s="16"/>
    </row>
    <row r="9" spans="1:4" x14ac:dyDescent="0.35">
      <c r="A9" s="19" t="s">
        <v>19</v>
      </c>
      <c r="B9" s="16">
        <v>0</v>
      </c>
    </row>
    <row r="10" spans="1:4" x14ac:dyDescent="0.35">
      <c r="A10" s="16">
        <v>1</v>
      </c>
      <c r="B10" s="16">
        <v>1.5011219999999999E-3</v>
      </c>
    </row>
    <row r="11" spans="1:4" x14ac:dyDescent="0.35">
      <c r="A11" s="16">
        <v>7</v>
      </c>
      <c r="B11" s="16">
        <v>1.2289060000000001E-3</v>
      </c>
    </row>
    <row r="12" spans="1:4" x14ac:dyDescent="0.35">
      <c r="A12" s="16">
        <v>30</v>
      </c>
      <c r="B12" s="16">
        <v>1.2608261000000001E-3</v>
      </c>
    </row>
    <row r="13" spans="1:4" x14ac:dyDescent="0.35">
      <c r="A13" s="16">
        <v>60</v>
      </c>
      <c r="B13" s="16">
        <v>1.6743226E-3</v>
      </c>
    </row>
    <row r="14" spans="1:4" x14ac:dyDescent="0.35">
      <c r="A14" s="16">
        <v>90</v>
      </c>
      <c r="B14" s="16">
        <v>2.1719952E-3</v>
      </c>
    </row>
    <row r="15" spans="1:4" x14ac:dyDescent="0.35">
      <c r="A15" s="16">
        <v>180</v>
      </c>
      <c r="B15" s="16">
        <v>3.3253614999999999E-3</v>
      </c>
    </row>
    <row r="16" spans="1:4" x14ac:dyDescent="0.35">
      <c r="A16" s="16">
        <v>270</v>
      </c>
      <c r="B16" s="16">
        <v>4.3986199999999998E-3</v>
      </c>
    </row>
    <row r="17" spans="1:2" x14ac:dyDescent="0.35">
      <c r="A17" s="16">
        <v>360</v>
      </c>
      <c r="B17" s="16">
        <v>5.2973157999999998E-3</v>
      </c>
    </row>
    <row r="18" spans="1:2" x14ac:dyDescent="0.35">
      <c r="A18" s="16">
        <v>730</v>
      </c>
      <c r="B18" s="16">
        <v>5.5316827999999998E-3</v>
      </c>
    </row>
    <row r="19" spans="1:2" x14ac:dyDescent="0.35">
      <c r="A19" s="16">
        <v>1095</v>
      </c>
      <c r="B19" s="16">
        <v>7.5014058999999999E-3</v>
      </c>
    </row>
    <row r="20" spans="1:2" x14ac:dyDescent="0.35">
      <c r="A20" s="16">
        <v>1825</v>
      </c>
      <c r="B20" s="16">
        <v>1.23519913E-2</v>
      </c>
    </row>
    <row r="21" spans="1:2" x14ac:dyDescent="0.35">
      <c r="A21" s="16">
        <v>3650</v>
      </c>
      <c r="B21" s="16">
        <v>2.1150782900000002E-2</v>
      </c>
    </row>
    <row r="22" spans="1:2" x14ac:dyDescent="0.35">
      <c r="A22" s="16">
        <v>5475</v>
      </c>
      <c r="B22" s="16">
        <v>2.5703743099999999E-2</v>
      </c>
    </row>
    <row r="23" spans="1:2" x14ac:dyDescent="0.35">
      <c r="A23" s="16">
        <v>7300</v>
      </c>
      <c r="B23" s="16">
        <v>2.6995468700000001E-2</v>
      </c>
    </row>
  </sheetData>
  <hyperlinks>
    <hyperlink ref="D5" location="SubVCV3!A1" display="SubVCV3" xr:uid="{935FA548-0D24-5E4C-86AD-5F6BB3F07A7E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054F4-580D-C347-BB45-FD5F7FFDFF2A}">
  <sheetPr codeName="Sheet10">
    <tabColor rgb="FF7030A0"/>
  </sheetPr>
  <dimension ref="A1:D23"/>
  <sheetViews>
    <sheetView topLeftCell="A6" workbookViewId="0">
      <selection activeCell="H10" sqref="H10"/>
    </sheetView>
  </sheetViews>
  <sheetFormatPr defaultColWidth="8.83203125" defaultRowHeight="14.5" x14ac:dyDescent="0.35"/>
  <cols>
    <col min="1" max="1" width="15.6640625" style="14" customWidth="1"/>
    <col min="2" max="2" width="14.33203125" style="14" customWidth="1"/>
    <col min="3" max="3" width="16.6640625" style="14" customWidth="1"/>
    <col min="4" max="4" width="32.6640625" style="14" customWidth="1"/>
    <col min="5" max="16384" width="8.83203125" style="14"/>
  </cols>
  <sheetData>
    <row r="1" spans="1:4" ht="21" x14ac:dyDescent="0.5">
      <c r="A1" s="70" t="s">
        <v>22</v>
      </c>
      <c r="B1" s="70"/>
      <c r="C1" s="70"/>
      <c r="D1" s="70"/>
    </row>
    <row r="3" spans="1:4" x14ac:dyDescent="0.35">
      <c r="A3" s="15" t="s">
        <v>8</v>
      </c>
      <c r="B3" s="16" t="s">
        <v>22</v>
      </c>
      <c r="C3" s="15" t="s">
        <v>9</v>
      </c>
      <c r="D3" s="16" t="s">
        <v>10</v>
      </c>
    </row>
    <row r="4" spans="1:4" x14ac:dyDescent="0.35">
      <c r="A4" s="15" t="s">
        <v>11</v>
      </c>
      <c r="B4" s="16" t="s">
        <v>23</v>
      </c>
      <c r="C4" s="15" t="s">
        <v>13</v>
      </c>
      <c r="D4" s="16" t="s">
        <v>14</v>
      </c>
    </row>
    <row r="5" spans="1:4" x14ac:dyDescent="0.35">
      <c r="A5" s="15" t="s">
        <v>15</v>
      </c>
      <c r="B5" s="16" t="s">
        <v>16</v>
      </c>
      <c r="C5" s="15" t="s">
        <v>17</v>
      </c>
      <c r="D5" s="17" t="s">
        <v>4</v>
      </c>
    </row>
    <row r="6" spans="1:4" x14ac:dyDescent="0.35">
      <c r="A6" s="15" t="s">
        <v>24</v>
      </c>
      <c r="B6" s="18">
        <f>Intro!F5</f>
        <v>41657</v>
      </c>
      <c r="C6" s="15"/>
      <c r="D6" s="16"/>
    </row>
    <row r="9" spans="1:4" x14ac:dyDescent="0.35">
      <c r="A9" s="19" t="s">
        <v>19</v>
      </c>
      <c r="B9" s="16">
        <v>0</v>
      </c>
    </row>
    <row r="10" spans="1:4" x14ac:dyDescent="0.35">
      <c r="A10" s="16">
        <v>1</v>
      </c>
      <c r="B10" s="16">
        <v>1.052552E-3</v>
      </c>
    </row>
    <row r="11" spans="1:4" x14ac:dyDescent="0.35">
      <c r="A11" s="16">
        <v>7</v>
      </c>
      <c r="B11" s="16">
        <v>1.4982966999999999E-3</v>
      </c>
    </row>
    <row r="12" spans="1:4" x14ac:dyDescent="0.35">
      <c r="A12" s="16">
        <v>30</v>
      </c>
      <c r="B12" s="16">
        <v>1.7205668E-3</v>
      </c>
    </row>
    <row r="13" spans="1:4" x14ac:dyDescent="0.35">
      <c r="A13" s="16">
        <v>60</v>
      </c>
      <c r="B13" s="16">
        <v>2.1119872000000001E-3</v>
      </c>
    </row>
    <row r="14" spans="1:4" x14ac:dyDescent="0.35">
      <c r="A14" s="16">
        <v>90</v>
      </c>
      <c r="B14" s="16">
        <v>2.4319329999999998E-3</v>
      </c>
    </row>
    <row r="15" spans="1:4" x14ac:dyDescent="0.35">
      <c r="A15" s="16">
        <v>180</v>
      </c>
      <c r="B15" s="16">
        <v>3.6133916999999999E-3</v>
      </c>
    </row>
    <row r="16" spans="1:4" x14ac:dyDescent="0.35">
      <c r="A16" s="16">
        <v>270</v>
      </c>
      <c r="B16" s="16">
        <v>4.8901403E-3</v>
      </c>
    </row>
    <row r="17" spans="1:2" x14ac:dyDescent="0.35">
      <c r="A17" s="16">
        <v>360</v>
      </c>
      <c r="B17" s="16">
        <v>6.1691245000000004E-3</v>
      </c>
    </row>
    <row r="18" spans="1:2" x14ac:dyDescent="0.35">
      <c r="A18" s="16">
        <v>730</v>
      </c>
      <c r="B18" s="16">
        <v>4.6716253000000001E-3</v>
      </c>
    </row>
    <row r="19" spans="1:2" x14ac:dyDescent="0.35">
      <c r="A19" s="16">
        <v>1095</v>
      </c>
      <c r="B19" s="16">
        <v>7.7745629000000004E-3</v>
      </c>
    </row>
    <row r="20" spans="1:2" x14ac:dyDescent="0.35">
      <c r="A20" s="16">
        <v>1825</v>
      </c>
      <c r="B20" s="16">
        <v>1.5726555900000001E-2</v>
      </c>
    </row>
    <row r="21" spans="1:2" x14ac:dyDescent="0.35">
      <c r="A21" s="16">
        <v>3650</v>
      </c>
      <c r="B21" s="16">
        <v>2.8907214000000001E-2</v>
      </c>
    </row>
    <row r="22" spans="1:2" x14ac:dyDescent="0.35">
      <c r="A22" s="16">
        <v>5475</v>
      </c>
      <c r="B22" s="16">
        <v>3.4888199199999997E-2</v>
      </c>
    </row>
    <row r="23" spans="1:2" x14ac:dyDescent="0.35">
      <c r="A23" s="16">
        <v>7300</v>
      </c>
      <c r="B23" s="16">
        <v>3.7368486499999999E-2</v>
      </c>
    </row>
  </sheetData>
  <mergeCells count="1">
    <mergeCell ref="A1:D1"/>
  </mergeCells>
  <hyperlinks>
    <hyperlink ref="D5" location="SubVCV3!A1" display="SubVCV3" xr:uid="{74314CDA-E48C-3A40-B68F-B99D2E381714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8E85-60C3-1649-9CE4-7D5BA122F0A3}">
  <sheetPr codeName="Sheet11">
    <tabColor rgb="FF7030A0"/>
  </sheetPr>
  <dimension ref="A1:D23"/>
  <sheetViews>
    <sheetView workbookViewId="0">
      <selection activeCell="B7" sqref="B7"/>
    </sheetView>
  </sheetViews>
  <sheetFormatPr defaultColWidth="8.83203125" defaultRowHeight="14.5" x14ac:dyDescent="0.35"/>
  <cols>
    <col min="1" max="1" width="13.5" style="14" customWidth="1"/>
    <col min="2" max="2" width="14.6640625" style="14" customWidth="1"/>
    <col min="3" max="3" width="17.33203125" style="14" customWidth="1"/>
    <col min="4" max="4" width="33.1640625" style="14" customWidth="1"/>
    <col min="5" max="16384" width="8.83203125" style="14"/>
  </cols>
  <sheetData>
    <row r="1" spans="1:4" x14ac:dyDescent="0.35">
      <c r="A1" s="14" t="s">
        <v>25</v>
      </c>
    </row>
    <row r="3" spans="1:4" x14ac:dyDescent="0.35">
      <c r="A3" s="15" t="s">
        <v>8</v>
      </c>
      <c r="B3" s="16" t="s">
        <v>25</v>
      </c>
      <c r="C3" s="15" t="s">
        <v>9</v>
      </c>
      <c r="D3" s="16" t="s">
        <v>10</v>
      </c>
    </row>
    <row r="4" spans="1:4" x14ac:dyDescent="0.35">
      <c r="A4" s="15" t="s">
        <v>11</v>
      </c>
      <c r="B4" s="16" t="s">
        <v>26</v>
      </c>
      <c r="C4" s="15" t="s">
        <v>13</v>
      </c>
      <c r="D4" s="16" t="s">
        <v>14</v>
      </c>
    </row>
    <row r="5" spans="1:4" x14ac:dyDescent="0.35">
      <c r="A5" s="15" t="s">
        <v>15</v>
      </c>
      <c r="B5" s="16" t="s">
        <v>16</v>
      </c>
      <c r="C5" s="15" t="s">
        <v>17</v>
      </c>
      <c r="D5" s="17" t="s">
        <v>4</v>
      </c>
    </row>
    <row r="6" spans="1:4" x14ac:dyDescent="0.35">
      <c r="A6" s="15" t="s">
        <v>27</v>
      </c>
      <c r="B6" s="18">
        <f>Intro!F5</f>
        <v>41657</v>
      </c>
      <c r="C6" s="15"/>
      <c r="D6" s="16"/>
    </row>
    <row r="9" spans="1:4" x14ac:dyDescent="0.35">
      <c r="A9" s="19" t="s">
        <v>19</v>
      </c>
      <c r="B9" s="16">
        <v>0</v>
      </c>
    </row>
    <row r="10" spans="1:4" x14ac:dyDescent="0.35">
      <c r="A10" s="16">
        <v>1</v>
      </c>
      <c r="B10" s="16">
        <v>9.5956210000000004E-3</v>
      </c>
    </row>
    <row r="11" spans="1:4" x14ac:dyDescent="0.35">
      <c r="A11" s="16">
        <v>7</v>
      </c>
      <c r="B11" s="16">
        <v>9.8327329999999998E-3</v>
      </c>
    </row>
    <row r="12" spans="1:4" x14ac:dyDescent="0.35">
      <c r="A12" s="16">
        <v>30</v>
      </c>
      <c r="B12" s="16">
        <v>1.02403244E-2</v>
      </c>
    </row>
    <row r="13" spans="1:4" x14ac:dyDescent="0.35">
      <c r="A13" s="16">
        <v>60</v>
      </c>
      <c r="B13" s="16">
        <v>1.08200165E-2</v>
      </c>
    </row>
    <row r="14" spans="1:4" x14ac:dyDescent="0.35">
      <c r="A14" s="16">
        <v>90</v>
      </c>
      <c r="B14" s="16">
        <v>1.1488112199999999E-2</v>
      </c>
    </row>
    <row r="15" spans="1:4" x14ac:dyDescent="0.35">
      <c r="A15" s="16">
        <v>180</v>
      </c>
      <c r="B15" s="16">
        <v>1.27114802E-2</v>
      </c>
    </row>
    <row r="16" spans="1:4" x14ac:dyDescent="0.35">
      <c r="A16" s="16">
        <v>270</v>
      </c>
      <c r="B16" s="16">
        <v>1.3892553300000001E-2</v>
      </c>
    </row>
    <row r="17" spans="1:2" x14ac:dyDescent="0.35">
      <c r="A17" s="16">
        <v>360</v>
      </c>
      <c r="B17" s="16">
        <v>1.4954030700000001E-2</v>
      </c>
    </row>
    <row r="18" spans="1:2" x14ac:dyDescent="0.35">
      <c r="A18" s="16">
        <v>730</v>
      </c>
      <c r="B18" s="16">
        <v>1.48051087E-2</v>
      </c>
    </row>
    <row r="19" spans="1:2" x14ac:dyDescent="0.35">
      <c r="A19" s="16">
        <v>1095</v>
      </c>
      <c r="B19" s="16">
        <v>1.74588164E-2</v>
      </c>
    </row>
    <row r="20" spans="1:2" x14ac:dyDescent="0.35">
      <c r="A20" s="16">
        <v>1825</v>
      </c>
      <c r="B20" s="16">
        <v>2.2742852800000001E-2</v>
      </c>
    </row>
    <row r="21" spans="1:2" x14ac:dyDescent="0.35">
      <c r="A21" s="16">
        <v>3650</v>
      </c>
      <c r="B21" s="16">
        <v>3.1559511599999999E-2</v>
      </c>
    </row>
    <row r="22" spans="1:2" x14ac:dyDescent="0.35">
      <c r="A22" s="16">
        <v>5475</v>
      </c>
      <c r="B22" s="16">
        <v>3.6807841100000002E-2</v>
      </c>
    </row>
    <row r="23" spans="1:2" x14ac:dyDescent="0.35">
      <c r="A23" s="16">
        <v>7300</v>
      </c>
      <c r="B23" s="16">
        <v>3.8295457800000002E-2</v>
      </c>
    </row>
  </sheetData>
  <hyperlinks>
    <hyperlink ref="D5" location="SubVCV3!A1" display="SubVCV3" xr:uid="{1D06BF1B-CF5A-4A45-9C6F-36D7903BB7B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ABC58-715A-C841-87AD-754E7555637F}">
  <sheetPr codeName="Sheet54"/>
  <dimension ref="A1:H27"/>
  <sheetViews>
    <sheetView workbookViewId="0">
      <selection activeCell="B6" sqref="B6"/>
    </sheetView>
  </sheetViews>
  <sheetFormatPr defaultColWidth="9.1640625" defaultRowHeight="12.5" x14ac:dyDescent="0.25"/>
  <cols>
    <col min="1" max="1" width="10.83203125" style="20" bestFit="1" customWidth="1"/>
    <col min="2" max="2" width="12.83203125" style="20" bestFit="1" customWidth="1"/>
    <col min="3" max="3" width="15" style="20" bestFit="1" customWidth="1"/>
    <col min="4" max="4" width="13" style="20" customWidth="1"/>
    <col min="5" max="5" width="16.33203125" style="20" customWidth="1"/>
    <col min="6" max="6" width="17.1640625" style="20" customWidth="1"/>
    <col min="7" max="7" width="23.5" style="20" customWidth="1"/>
    <col min="8" max="8" width="23.83203125" style="20" customWidth="1"/>
    <col min="9" max="16384" width="9.1640625" style="20"/>
  </cols>
  <sheetData>
    <row r="1" spans="1:8" x14ac:dyDescent="0.25">
      <c r="A1" s="71" t="s">
        <v>28</v>
      </c>
      <c r="B1" s="71"/>
      <c r="C1" s="71"/>
      <c r="D1" s="71"/>
    </row>
    <row r="2" spans="1:8" ht="13" thickBot="1" x14ac:dyDescent="0.3">
      <c r="A2" s="72"/>
      <c r="B2" s="72"/>
      <c r="C2" s="72"/>
      <c r="D2" s="72"/>
    </row>
    <row r="3" spans="1:8" x14ac:dyDescent="0.25">
      <c r="A3" s="21" t="s">
        <v>8</v>
      </c>
      <c r="B3" s="22" t="s">
        <v>28</v>
      </c>
      <c r="C3" s="22" t="s">
        <v>9</v>
      </c>
      <c r="D3" s="23" t="s">
        <v>10</v>
      </c>
    </row>
    <row r="4" spans="1:8" x14ac:dyDescent="0.25">
      <c r="A4" s="24" t="s">
        <v>11</v>
      </c>
      <c r="B4" s="25" t="s">
        <v>94</v>
      </c>
      <c r="C4" s="25" t="s">
        <v>13</v>
      </c>
      <c r="D4" s="26" t="s">
        <v>14</v>
      </c>
    </row>
    <row r="5" spans="1:8" ht="13" thickBot="1" x14ac:dyDescent="0.3">
      <c r="A5" s="24" t="s">
        <v>15</v>
      </c>
      <c r="B5" s="25" t="s">
        <v>16</v>
      </c>
      <c r="C5" s="27" t="s">
        <v>17</v>
      </c>
      <c r="D5" s="28"/>
    </row>
    <row r="6" spans="1:8" ht="13" thickBot="1" x14ac:dyDescent="0.3">
      <c r="A6" s="29" t="s">
        <v>18</v>
      </c>
      <c r="B6" s="30">
        <f>Intro!F5</f>
        <v>41657</v>
      </c>
      <c r="C6" s="27"/>
      <c r="D6" s="31"/>
    </row>
    <row r="8" spans="1:8" ht="13" thickBot="1" x14ac:dyDescent="0.3"/>
    <row r="9" spans="1:8" ht="13" x14ac:dyDescent="0.3">
      <c r="A9" s="32" t="s">
        <v>19</v>
      </c>
      <c r="B9" s="33" t="s">
        <v>29</v>
      </c>
      <c r="C9" s="34"/>
      <c r="D9" s="34"/>
      <c r="E9" s="34"/>
      <c r="F9" s="34"/>
      <c r="G9" s="34"/>
      <c r="H9" s="34"/>
    </row>
    <row r="10" spans="1:8" x14ac:dyDescent="0.25">
      <c r="A10" s="25">
        <v>1</v>
      </c>
      <c r="B10" s="20">
        <v>1.17E-3</v>
      </c>
    </row>
    <row r="11" spans="1:8" x14ac:dyDescent="0.25">
      <c r="A11" s="25">
        <v>7</v>
      </c>
      <c r="B11" s="20">
        <v>1.17E-3</v>
      </c>
      <c r="C11" s="35"/>
    </row>
    <row r="12" spans="1:8" x14ac:dyDescent="0.25">
      <c r="A12" s="25">
        <v>30</v>
      </c>
      <c r="B12" s="20">
        <v>1.39E-3</v>
      </c>
      <c r="C12" s="35"/>
    </row>
    <row r="13" spans="1:8" x14ac:dyDescent="0.25">
      <c r="A13" s="25">
        <v>91</v>
      </c>
      <c r="B13" s="20">
        <v>1.24E-3</v>
      </c>
      <c r="C13" s="35"/>
    </row>
    <row r="14" spans="1:8" x14ac:dyDescent="0.25">
      <c r="A14" s="25">
        <v>182</v>
      </c>
      <c r="B14" s="20">
        <v>1.23E-3</v>
      </c>
      <c r="C14" s="35"/>
    </row>
    <row r="15" spans="1:8" x14ac:dyDescent="0.25">
      <c r="A15" s="25">
        <v>365</v>
      </c>
      <c r="B15" s="20">
        <v>1.2800000000000001E-3</v>
      </c>
      <c r="C15" s="35"/>
    </row>
    <row r="16" spans="1:8" x14ac:dyDescent="0.25">
      <c r="A16" s="25">
        <v>730</v>
      </c>
      <c r="B16" s="20">
        <v>1.4400000000000001E-3</v>
      </c>
      <c r="C16" s="35"/>
    </row>
    <row r="17" spans="1:3" x14ac:dyDescent="0.25">
      <c r="A17" s="25">
        <v>1095</v>
      </c>
      <c r="B17" s="20">
        <v>1.7099999999999999E-3</v>
      </c>
      <c r="C17" s="35"/>
    </row>
    <row r="18" spans="1:3" x14ac:dyDescent="0.25">
      <c r="A18" s="25">
        <v>1460</v>
      </c>
      <c r="B18" s="20">
        <v>2.1700000000000001E-3</v>
      </c>
      <c r="C18" s="35"/>
    </row>
    <row r="19" spans="1:3" x14ac:dyDescent="0.25">
      <c r="A19" s="25">
        <v>1825</v>
      </c>
      <c r="B19" s="20">
        <v>2.7699999999999999E-3</v>
      </c>
      <c r="C19" s="35"/>
    </row>
    <row r="20" spans="1:3" x14ac:dyDescent="0.25">
      <c r="A20" s="36">
        <v>2190</v>
      </c>
      <c r="B20" s="20">
        <v>3.46E-3</v>
      </c>
      <c r="C20" s="35"/>
    </row>
    <row r="21" spans="1:3" x14ac:dyDescent="0.25">
      <c r="A21" s="36">
        <v>2555</v>
      </c>
      <c r="B21" s="20">
        <v>4.5399999999999998E-3</v>
      </c>
      <c r="C21" s="35"/>
    </row>
    <row r="22" spans="1:3" x14ac:dyDescent="0.25">
      <c r="A22" s="36">
        <v>2920</v>
      </c>
      <c r="B22" s="20">
        <v>5.9500000000000004E-3</v>
      </c>
      <c r="C22" s="35"/>
    </row>
    <row r="23" spans="1:3" x14ac:dyDescent="0.25">
      <c r="A23" s="25">
        <v>3285</v>
      </c>
      <c r="B23" s="20">
        <v>7.8200000000000006E-3</v>
      </c>
    </row>
    <row r="24" spans="1:3" x14ac:dyDescent="0.25">
      <c r="A24" s="25">
        <v>3650</v>
      </c>
      <c r="B24" s="20">
        <v>9.6100000000000005E-3</v>
      </c>
    </row>
    <row r="25" spans="1:3" x14ac:dyDescent="0.25">
      <c r="A25" s="25">
        <v>5475</v>
      </c>
      <c r="B25" s="20">
        <v>1.422E-2</v>
      </c>
    </row>
    <row r="26" spans="1:3" x14ac:dyDescent="0.25">
      <c r="A26" s="25">
        <v>7300</v>
      </c>
      <c r="B26" s="20">
        <v>1.7649999999999999E-2</v>
      </c>
    </row>
    <row r="27" spans="1:3" x14ac:dyDescent="0.25">
      <c r="A27" s="25">
        <v>10950</v>
      </c>
      <c r="B27" s="20">
        <v>1.899E-2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6C39-1031-2648-8058-6AB5BCDC231F}">
  <sheetPr codeName="Sheet56"/>
  <dimension ref="A1:H27"/>
  <sheetViews>
    <sheetView workbookViewId="0">
      <selection activeCell="B7" sqref="B7"/>
    </sheetView>
  </sheetViews>
  <sheetFormatPr defaultColWidth="9.1640625" defaultRowHeight="12.5" x14ac:dyDescent="0.25"/>
  <cols>
    <col min="1" max="1" width="10.83203125" style="20" bestFit="1" customWidth="1"/>
    <col min="2" max="2" width="12.83203125" style="20" bestFit="1" customWidth="1"/>
    <col min="3" max="3" width="15" style="20" bestFit="1" customWidth="1"/>
    <col min="4" max="4" width="17.6640625" style="20" customWidth="1"/>
    <col min="5" max="5" width="17.33203125" style="20" customWidth="1"/>
    <col min="6" max="6" width="16.83203125" style="20" customWidth="1"/>
    <col min="7" max="7" width="18.33203125" style="20" customWidth="1"/>
    <col min="8" max="8" width="21" style="20" customWidth="1"/>
    <col min="9" max="16384" width="9.1640625" style="20"/>
  </cols>
  <sheetData>
    <row r="1" spans="1:8" x14ac:dyDescent="0.25">
      <c r="A1" s="71" t="s">
        <v>30</v>
      </c>
      <c r="B1" s="71"/>
      <c r="C1" s="71"/>
      <c r="D1" s="71"/>
    </row>
    <row r="2" spans="1:8" ht="13" thickBot="1" x14ac:dyDescent="0.3">
      <c r="A2" s="72"/>
      <c r="B2" s="72"/>
      <c r="C2" s="72"/>
      <c r="D2" s="72"/>
    </row>
    <row r="3" spans="1:8" x14ac:dyDescent="0.25">
      <c r="A3" s="21" t="s">
        <v>8</v>
      </c>
      <c r="B3" s="22" t="s">
        <v>30</v>
      </c>
      <c r="C3" s="22" t="s">
        <v>9</v>
      </c>
      <c r="D3" s="23" t="s">
        <v>10</v>
      </c>
    </row>
    <row r="4" spans="1:8" x14ac:dyDescent="0.25">
      <c r="A4" s="24" t="s">
        <v>11</v>
      </c>
      <c r="B4" s="25" t="s">
        <v>94</v>
      </c>
      <c r="C4" s="25" t="s">
        <v>13</v>
      </c>
      <c r="D4" s="26" t="s">
        <v>14</v>
      </c>
    </row>
    <row r="5" spans="1:8" ht="13" thickBot="1" x14ac:dyDescent="0.3">
      <c r="A5" s="24" t="s">
        <v>15</v>
      </c>
      <c r="B5" s="25" t="s">
        <v>16</v>
      </c>
      <c r="C5" s="27" t="s">
        <v>17</v>
      </c>
      <c r="D5" s="28"/>
    </row>
    <row r="6" spans="1:8" ht="13" thickBot="1" x14ac:dyDescent="0.3">
      <c r="A6" s="29" t="s">
        <v>18</v>
      </c>
      <c r="B6" s="30">
        <f>Intro!F5</f>
        <v>41657</v>
      </c>
      <c r="C6" s="27"/>
      <c r="D6" s="31"/>
    </row>
    <row r="8" spans="1:8" ht="13" thickBot="1" x14ac:dyDescent="0.3"/>
    <row r="9" spans="1:8" ht="13" x14ac:dyDescent="0.3">
      <c r="A9" s="32" t="s">
        <v>19</v>
      </c>
      <c r="B9" s="33" t="s">
        <v>29</v>
      </c>
      <c r="C9" s="34"/>
      <c r="D9" s="34"/>
      <c r="E9" s="34"/>
      <c r="F9" s="34"/>
      <c r="G9" s="34"/>
      <c r="H9" s="34"/>
    </row>
    <row r="10" spans="1:8" x14ac:dyDescent="0.25">
      <c r="A10" s="25">
        <v>1</v>
      </c>
      <c r="B10" s="20">
        <v>7.5000000000000002E-4</v>
      </c>
      <c r="C10" s="35"/>
    </row>
    <row r="11" spans="1:8" x14ac:dyDescent="0.25">
      <c r="A11" s="25">
        <v>7</v>
      </c>
      <c r="B11" s="20">
        <v>7.5000000000000002E-4</v>
      </c>
      <c r="C11" s="35"/>
    </row>
    <row r="12" spans="1:8" x14ac:dyDescent="0.25">
      <c r="A12" s="25">
        <v>30</v>
      </c>
      <c r="B12" s="20">
        <v>2.3999999999999998E-3</v>
      </c>
      <c r="C12" s="35"/>
    </row>
    <row r="13" spans="1:8" x14ac:dyDescent="0.25">
      <c r="A13" s="25">
        <v>91</v>
      </c>
      <c r="B13" s="20">
        <v>3.2799999999999999E-3</v>
      </c>
      <c r="C13" s="35"/>
    </row>
    <row r="14" spans="1:8" x14ac:dyDescent="0.25">
      <c r="A14" s="25">
        <v>182</v>
      </c>
      <c r="B14" s="20">
        <v>3.0500000000000002E-3</v>
      </c>
      <c r="C14" s="35"/>
    </row>
    <row r="15" spans="1:8" x14ac:dyDescent="0.25">
      <c r="A15" s="25">
        <v>365</v>
      </c>
      <c r="B15" s="20">
        <v>3.5400000000000002E-3</v>
      </c>
      <c r="C15" s="35"/>
    </row>
    <row r="16" spans="1:8" x14ac:dyDescent="0.25">
      <c r="A16" s="25">
        <v>730</v>
      </c>
      <c r="B16" s="20">
        <v>5.7200000000000003E-3</v>
      </c>
      <c r="C16" s="35"/>
    </row>
    <row r="17" spans="1:3" x14ac:dyDescent="0.25">
      <c r="A17" s="25">
        <v>1095</v>
      </c>
      <c r="B17" s="20">
        <v>7.1900000000000002E-3</v>
      </c>
      <c r="C17" s="35"/>
    </row>
    <row r="18" spans="1:3" x14ac:dyDescent="0.25">
      <c r="A18" s="25">
        <v>1460</v>
      </c>
      <c r="B18" s="20">
        <v>9.5399999999999999E-3</v>
      </c>
      <c r="C18" s="35"/>
    </row>
    <row r="19" spans="1:3" x14ac:dyDescent="0.25">
      <c r="A19" s="36">
        <v>1825</v>
      </c>
      <c r="B19" s="20">
        <v>1.204E-2</v>
      </c>
      <c r="C19" s="35"/>
    </row>
    <row r="20" spans="1:3" x14ac:dyDescent="0.25">
      <c r="A20" s="36">
        <v>2190</v>
      </c>
      <c r="B20" s="20">
        <v>1.431E-2</v>
      </c>
      <c r="C20" s="35"/>
    </row>
    <row r="21" spans="1:3" x14ac:dyDescent="0.25">
      <c r="A21" s="36">
        <v>2555</v>
      </c>
      <c r="B21" s="20">
        <v>1.6400000000000001E-2</v>
      </c>
      <c r="C21" s="35"/>
    </row>
    <row r="22" spans="1:3" x14ac:dyDescent="0.25">
      <c r="A22" s="25">
        <v>2920</v>
      </c>
      <c r="B22" s="20">
        <v>1.7909999999999999E-2</v>
      </c>
    </row>
    <row r="23" spans="1:3" x14ac:dyDescent="0.25">
      <c r="A23" s="25">
        <v>3285</v>
      </c>
      <c r="B23" s="20">
        <v>1.9439999999999999E-2</v>
      </c>
    </row>
    <row r="24" spans="1:3" x14ac:dyDescent="0.25">
      <c r="A24" s="25">
        <v>3650</v>
      </c>
      <c r="B24" s="20">
        <v>2.0729999999999998E-2</v>
      </c>
    </row>
    <row r="25" spans="1:3" x14ac:dyDescent="0.25">
      <c r="A25" s="25">
        <v>5475</v>
      </c>
      <c r="B25" s="20">
        <v>2.3699999999999999E-2</v>
      </c>
    </row>
    <row r="26" spans="1:3" x14ac:dyDescent="0.25">
      <c r="A26" s="25">
        <v>7300</v>
      </c>
      <c r="B26" s="20">
        <v>2.35E-2</v>
      </c>
    </row>
    <row r="27" spans="1:3" x14ac:dyDescent="0.25">
      <c r="A27" s="25">
        <v>10950</v>
      </c>
      <c r="B27" s="20">
        <v>2.3290000000000002E-2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BDA6C-5C18-094E-8FDB-5C69F09C0242}">
  <sheetPr codeName="Sheet57"/>
  <dimension ref="A1:H27"/>
  <sheetViews>
    <sheetView workbookViewId="0">
      <selection activeCell="G25" sqref="G25"/>
    </sheetView>
  </sheetViews>
  <sheetFormatPr defaultColWidth="9.1640625" defaultRowHeight="12.5" x14ac:dyDescent="0.25"/>
  <cols>
    <col min="1" max="1" width="10.83203125" style="20" bestFit="1" customWidth="1"/>
    <col min="2" max="2" width="12.83203125" style="20" bestFit="1" customWidth="1"/>
    <col min="3" max="3" width="15" style="20" bestFit="1" customWidth="1"/>
    <col min="4" max="4" width="16.1640625" style="20" customWidth="1"/>
    <col min="5" max="5" width="15.83203125" style="20" customWidth="1"/>
    <col min="6" max="6" width="17.5" style="20" customWidth="1"/>
    <col min="7" max="7" width="19.83203125" style="20" bestFit="1" customWidth="1"/>
    <col min="8" max="8" width="22.33203125" style="20" bestFit="1" customWidth="1"/>
    <col min="9" max="16384" width="9.1640625" style="20"/>
  </cols>
  <sheetData>
    <row r="1" spans="1:8" x14ac:dyDescent="0.25">
      <c r="A1" s="71" t="s">
        <v>31</v>
      </c>
      <c r="B1" s="71"/>
      <c r="C1" s="71"/>
      <c r="D1" s="71"/>
    </row>
    <row r="2" spans="1:8" ht="13" thickBot="1" x14ac:dyDescent="0.3">
      <c r="A2" s="72"/>
      <c r="B2" s="72"/>
      <c r="C2" s="72"/>
      <c r="D2" s="72"/>
    </row>
    <row r="3" spans="1:8" x14ac:dyDescent="0.25">
      <c r="A3" s="21" t="s">
        <v>8</v>
      </c>
      <c r="B3" s="22" t="s">
        <v>32</v>
      </c>
      <c r="C3" s="22" t="s">
        <v>9</v>
      </c>
      <c r="D3" s="23" t="s">
        <v>10</v>
      </c>
    </row>
    <row r="4" spans="1:8" x14ac:dyDescent="0.25">
      <c r="A4" s="24" t="s">
        <v>11</v>
      </c>
      <c r="B4" s="25" t="s">
        <v>94</v>
      </c>
      <c r="C4" s="25" t="s">
        <v>13</v>
      </c>
      <c r="D4" s="26" t="s">
        <v>14</v>
      </c>
    </row>
    <row r="5" spans="1:8" ht="13" thickBot="1" x14ac:dyDescent="0.3">
      <c r="A5" s="24" t="s">
        <v>15</v>
      </c>
      <c r="B5" s="25" t="s">
        <v>16</v>
      </c>
      <c r="C5" s="27" t="s">
        <v>17</v>
      </c>
      <c r="D5" s="28"/>
    </row>
    <row r="6" spans="1:8" ht="13" thickBot="1" x14ac:dyDescent="0.3">
      <c r="A6" s="29" t="s">
        <v>18</v>
      </c>
      <c r="B6" s="30">
        <f>Intro!F5</f>
        <v>41657</v>
      </c>
      <c r="C6" s="27"/>
      <c r="D6" s="31"/>
    </row>
    <row r="8" spans="1:8" ht="13" thickBot="1" x14ac:dyDescent="0.3"/>
    <row r="9" spans="1:8" ht="13" x14ac:dyDescent="0.3">
      <c r="A9" s="32" t="s">
        <v>19</v>
      </c>
      <c r="B9" s="33" t="s">
        <v>29</v>
      </c>
      <c r="C9" s="34"/>
      <c r="D9" s="34"/>
      <c r="E9" s="34"/>
      <c r="F9" s="34"/>
      <c r="G9" s="34"/>
      <c r="H9" s="34"/>
    </row>
    <row r="10" spans="1:8" x14ac:dyDescent="0.25">
      <c r="A10" s="25">
        <v>1</v>
      </c>
      <c r="B10" s="20">
        <v>2.2100000000000002E-3</v>
      </c>
      <c r="C10" s="35"/>
    </row>
    <row r="11" spans="1:8" x14ac:dyDescent="0.25">
      <c r="A11" s="25">
        <v>7</v>
      </c>
      <c r="B11" s="20">
        <v>1.6999999999999999E-3</v>
      </c>
      <c r="C11" s="35"/>
    </row>
    <row r="12" spans="1:8" x14ac:dyDescent="0.25">
      <c r="A12" s="25">
        <v>30</v>
      </c>
      <c r="B12" s="20">
        <v>1.6999999999999999E-3</v>
      </c>
      <c r="C12" s="35"/>
    </row>
    <row r="13" spans="1:8" x14ac:dyDescent="0.25">
      <c r="A13" s="25">
        <v>91</v>
      </c>
      <c r="B13" s="20">
        <v>2.2100000000000002E-3</v>
      </c>
      <c r="C13" s="35"/>
    </row>
    <row r="14" spans="1:8" x14ac:dyDescent="0.25">
      <c r="A14" s="25">
        <v>182</v>
      </c>
      <c r="B14" s="20">
        <v>2.8600000000000001E-3</v>
      </c>
      <c r="C14" s="35"/>
    </row>
    <row r="15" spans="1:8" x14ac:dyDescent="0.25">
      <c r="A15" s="25">
        <v>365</v>
      </c>
      <c r="B15" s="20">
        <v>3.5200000000000001E-3</v>
      </c>
      <c r="C15" s="35"/>
    </row>
    <row r="16" spans="1:8" x14ac:dyDescent="0.25">
      <c r="A16" s="25">
        <v>730</v>
      </c>
      <c r="B16" s="20">
        <v>5.9899999999999997E-3</v>
      </c>
      <c r="C16" s="35"/>
    </row>
    <row r="17" spans="1:3" x14ac:dyDescent="0.25">
      <c r="A17" s="25">
        <v>1095</v>
      </c>
      <c r="B17" s="20">
        <v>7.2300000000000003E-3</v>
      </c>
      <c r="C17" s="35"/>
    </row>
    <row r="18" spans="1:3" x14ac:dyDescent="0.25">
      <c r="A18" s="25">
        <v>1460</v>
      </c>
      <c r="B18" s="20">
        <v>8.43E-3</v>
      </c>
      <c r="C18" s="35"/>
    </row>
    <row r="19" spans="1:3" x14ac:dyDescent="0.25">
      <c r="A19" s="36">
        <v>1825</v>
      </c>
      <c r="B19" s="20">
        <v>9.6299999999999997E-3</v>
      </c>
      <c r="C19" s="35"/>
    </row>
    <row r="20" spans="1:3" x14ac:dyDescent="0.25">
      <c r="A20" s="36">
        <v>2190</v>
      </c>
      <c r="B20" s="20">
        <v>1.06E-2</v>
      </c>
      <c r="C20" s="35"/>
    </row>
    <row r="21" spans="1:3" x14ac:dyDescent="0.25">
      <c r="A21" s="36">
        <v>2555</v>
      </c>
      <c r="B21" s="20">
        <v>1.157E-2</v>
      </c>
      <c r="C21" s="35"/>
    </row>
    <row r="22" spans="1:3" x14ac:dyDescent="0.25">
      <c r="A22" s="25">
        <v>2920</v>
      </c>
      <c r="B22" s="20">
        <v>1.2409999999999999E-2</v>
      </c>
    </row>
    <row r="23" spans="1:3" x14ac:dyDescent="0.25">
      <c r="A23" s="25">
        <v>3285</v>
      </c>
      <c r="B23" s="20">
        <v>1.3390000000000001E-2</v>
      </c>
    </row>
    <row r="24" spans="1:3" x14ac:dyDescent="0.25">
      <c r="A24" s="25">
        <v>3650</v>
      </c>
      <c r="B24" s="20">
        <v>1.3950000000000001E-2</v>
      </c>
    </row>
    <row r="25" spans="1:3" x14ac:dyDescent="0.25">
      <c r="A25" s="25">
        <v>5475</v>
      </c>
      <c r="B25" s="20">
        <v>1.6400000000000001E-2</v>
      </c>
    </row>
    <row r="26" spans="1:3" x14ac:dyDescent="0.25">
      <c r="A26" s="25">
        <v>7300</v>
      </c>
      <c r="B26" s="20">
        <v>1.686E-2</v>
      </c>
    </row>
    <row r="27" spans="1:3" x14ac:dyDescent="0.25">
      <c r="A27" s="25">
        <v>10950</v>
      </c>
      <c r="B27" s="20">
        <v>1.9140000000000001E-2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D5E0D-85FD-574E-9655-6D1C5A00D40F}">
  <sheetPr codeName="Sheet18"/>
  <dimension ref="A1:G19"/>
  <sheetViews>
    <sheetView workbookViewId="0">
      <selection activeCell="C13" sqref="C13"/>
    </sheetView>
  </sheetViews>
  <sheetFormatPr defaultColWidth="8.83203125" defaultRowHeight="14.5" x14ac:dyDescent="0.35"/>
  <cols>
    <col min="1" max="16384" width="8.83203125" style="14"/>
  </cols>
  <sheetData>
    <row r="1" spans="1:7" ht="20" x14ac:dyDescent="0.4">
      <c r="A1" s="73" t="s">
        <v>33</v>
      </c>
      <c r="B1" s="73"/>
      <c r="C1" s="37"/>
      <c r="D1" s="38"/>
      <c r="E1" s="38"/>
      <c r="F1" s="38"/>
      <c r="G1" s="38"/>
    </row>
    <row r="2" spans="1:7" ht="20" x14ac:dyDescent="0.4">
      <c r="A2" s="74"/>
      <c r="B2" s="74"/>
      <c r="C2" s="37"/>
      <c r="D2" s="38"/>
      <c r="E2" s="38"/>
      <c r="F2" s="38"/>
      <c r="G2" s="38"/>
    </row>
    <row r="3" spans="1:7" x14ac:dyDescent="0.35">
      <c r="A3" s="39" t="s">
        <v>34</v>
      </c>
      <c r="B3" s="40" t="s">
        <v>35</v>
      </c>
      <c r="C3" s="41"/>
      <c r="D3" s="42"/>
      <c r="E3" s="42"/>
      <c r="F3" s="42"/>
      <c r="G3" s="42"/>
    </row>
    <row r="4" spans="1:7" x14ac:dyDescent="0.35">
      <c r="A4" s="43" t="s">
        <v>35</v>
      </c>
      <c r="B4" s="44">
        <v>1</v>
      </c>
      <c r="C4" s="45"/>
      <c r="D4" s="46"/>
      <c r="E4" s="46"/>
      <c r="F4" s="46"/>
      <c r="G4" s="46"/>
    </row>
    <row r="5" spans="1:7" x14ac:dyDescent="0.35">
      <c r="A5" s="43" t="s">
        <v>36</v>
      </c>
      <c r="B5" s="47">
        <v>0.96852000000000005</v>
      </c>
      <c r="D5" s="48"/>
      <c r="E5" s="48"/>
      <c r="F5" s="48"/>
      <c r="G5" s="48"/>
    </row>
    <row r="6" spans="1:7" x14ac:dyDescent="0.35">
      <c r="A6" s="43" t="s">
        <v>37</v>
      </c>
      <c r="B6" s="47">
        <v>1.3595999999999999</v>
      </c>
      <c r="D6" s="48"/>
      <c r="E6" s="48"/>
      <c r="F6" s="48"/>
      <c r="G6" s="48"/>
    </row>
    <row r="7" spans="1:7" x14ac:dyDescent="0.35">
      <c r="A7" s="43" t="s">
        <v>38</v>
      </c>
      <c r="B7" s="47">
        <v>1.5831</v>
      </c>
      <c r="D7" s="48"/>
      <c r="E7" s="48"/>
      <c r="F7" s="48"/>
      <c r="G7" s="48"/>
    </row>
    <row r="8" spans="1:7" x14ac:dyDescent="0.35">
      <c r="A8" s="43" t="s">
        <v>39</v>
      </c>
      <c r="B8" s="47">
        <v>0.12884999999999999</v>
      </c>
      <c r="D8" s="48"/>
      <c r="E8" s="48"/>
      <c r="F8" s="48"/>
      <c r="G8" s="48"/>
    </row>
    <row r="9" spans="1:7" x14ac:dyDescent="0.35">
      <c r="A9" s="43" t="s">
        <v>40</v>
      </c>
      <c r="B9" s="47">
        <v>3.2009999999999997E-2</v>
      </c>
      <c r="D9" s="49"/>
      <c r="E9" s="48"/>
      <c r="F9" s="48"/>
      <c r="G9" s="48"/>
    </row>
    <row r="10" spans="1:7" x14ac:dyDescent="0.35">
      <c r="A10" s="43" t="s">
        <v>41</v>
      </c>
      <c r="B10" s="47">
        <v>8.6280000000000003E-3</v>
      </c>
      <c r="D10" s="49"/>
      <c r="E10" s="48"/>
      <c r="F10" s="48"/>
      <c r="G10" s="48"/>
    </row>
    <row r="11" spans="1:7" x14ac:dyDescent="0.35">
      <c r="A11" s="50"/>
      <c r="D11" s="49"/>
      <c r="E11" s="48"/>
      <c r="F11" s="48"/>
      <c r="G11" s="48"/>
    </row>
    <row r="12" spans="1:7" x14ac:dyDescent="0.35">
      <c r="D12" s="49"/>
      <c r="E12" s="48"/>
      <c r="F12" s="48"/>
      <c r="G12" s="48"/>
    </row>
    <row r="13" spans="1:7" x14ac:dyDescent="0.35">
      <c r="A13" s="43" t="s">
        <v>42</v>
      </c>
      <c r="B13" s="16"/>
      <c r="C13" s="51" t="s">
        <v>22</v>
      </c>
      <c r="D13" s="48"/>
      <c r="E13" s="48"/>
      <c r="F13" s="48"/>
      <c r="G13" s="48"/>
    </row>
    <row r="14" spans="1:7" x14ac:dyDescent="0.35">
      <c r="A14" s="43" t="s">
        <v>43</v>
      </c>
      <c r="B14" s="16"/>
      <c r="C14" s="51" t="s">
        <v>25</v>
      </c>
    </row>
    <row r="15" spans="1:7" x14ac:dyDescent="0.35">
      <c r="A15" s="43" t="s">
        <v>44</v>
      </c>
      <c r="B15" s="16"/>
      <c r="C15" s="51" t="s">
        <v>20</v>
      </c>
    </row>
    <row r="16" spans="1:7" x14ac:dyDescent="0.35">
      <c r="A16" s="43" t="s">
        <v>45</v>
      </c>
      <c r="B16" s="16"/>
      <c r="C16" s="51" t="s">
        <v>7</v>
      </c>
    </row>
    <row r="17" spans="1:3" x14ac:dyDescent="0.35">
      <c r="A17" s="43" t="s">
        <v>46</v>
      </c>
      <c r="B17" s="16"/>
      <c r="C17" s="51" t="s">
        <v>30</v>
      </c>
    </row>
    <row r="18" spans="1:3" x14ac:dyDescent="0.35">
      <c r="A18" s="43" t="s">
        <v>47</v>
      </c>
      <c r="B18" s="16"/>
      <c r="C18" s="51" t="s">
        <v>31</v>
      </c>
    </row>
    <row r="19" spans="1:3" x14ac:dyDescent="0.35">
      <c r="A19" s="43" t="s">
        <v>48</v>
      </c>
      <c r="B19" s="16"/>
      <c r="C19" s="51" t="s">
        <v>28</v>
      </c>
    </row>
  </sheetData>
  <mergeCells count="1">
    <mergeCell ref="A1:B2"/>
  </mergeCells>
  <hyperlinks>
    <hyperlink ref="C13" location="IRUSD!A1" display="IRUSD" xr:uid="{E84F08DF-5DA7-EB4D-B98E-2AA472FDA8D2}"/>
    <hyperlink ref="C14" location="IRCAD!A1" display="IRCAD" xr:uid="{C998AAD4-C5F6-C04F-8BA5-062956DF2503}"/>
    <hyperlink ref="C15" location="IREUR!A1" display="IREUR" xr:uid="{40410771-F1D5-D845-B40D-8B0B9752FBA0}"/>
    <hyperlink ref="C16" location="IRGBP!A1" display="IRGBP" xr:uid="{6EF979DB-61C0-3B4C-9427-31E3A0C7D64B}"/>
    <hyperlink ref="C17" location="IRHKD!A1" display="IRHKD" xr:uid="{A260C038-4415-CA45-99BA-C3DBBABD7557}"/>
    <hyperlink ref="C18" location="IRAUD!A1" display="IRAUD" xr:uid="{E9A690B0-2DF0-8E40-B5C1-35824655E956}"/>
    <hyperlink ref="C19" location="IRJPY!A1" display="IRJPY" xr:uid="{3A233F9C-207D-9546-9958-379C86A2C787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17B96-FDF3-F245-85CB-40743616B2B1}">
  <sheetPr codeName="Sheet3"/>
  <dimension ref="A1:G8"/>
  <sheetViews>
    <sheetView workbookViewId="0">
      <selection activeCell="C2" sqref="C2"/>
    </sheetView>
  </sheetViews>
  <sheetFormatPr defaultColWidth="10.6640625" defaultRowHeight="15.5" x14ac:dyDescent="0.35"/>
  <cols>
    <col min="2" max="2" width="11.83203125" bestFit="1" customWidth="1"/>
    <col min="3" max="3" width="8.5" bestFit="1" customWidth="1"/>
    <col min="4" max="4" width="16.5" bestFit="1" customWidth="1"/>
    <col min="5" max="5" width="14.33203125" bestFit="1" customWidth="1"/>
    <col min="6" max="6" width="14.6640625" bestFit="1" customWidth="1"/>
  </cols>
  <sheetData>
    <row r="1" spans="1:7" x14ac:dyDescent="0.35">
      <c r="A1" s="55" t="s">
        <v>67</v>
      </c>
      <c r="B1" s="55" t="s">
        <v>68</v>
      </c>
      <c r="C1" s="55" t="s">
        <v>69</v>
      </c>
      <c r="D1" s="55" t="s">
        <v>70</v>
      </c>
      <c r="E1" s="56" t="s">
        <v>71</v>
      </c>
      <c r="F1" s="55" t="s">
        <v>72</v>
      </c>
      <c r="G1" s="58" t="s">
        <v>50</v>
      </c>
    </row>
    <row r="2" spans="1:7" x14ac:dyDescent="0.35">
      <c r="A2" t="s">
        <v>73</v>
      </c>
      <c r="B2" s="57" t="s">
        <v>3</v>
      </c>
      <c r="C2" t="s">
        <v>4</v>
      </c>
      <c r="D2" t="s">
        <v>74</v>
      </c>
      <c r="E2" t="s">
        <v>75</v>
      </c>
      <c r="F2" t="s">
        <v>76</v>
      </c>
      <c r="G2" t="s">
        <v>91</v>
      </c>
    </row>
    <row r="3" spans="1:7" x14ac:dyDescent="0.35">
      <c r="A3" t="s">
        <v>77</v>
      </c>
      <c r="B3" s="57" t="s">
        <v>78</v>
      </c>
      <c r="D3" t="s">
        <v>79</v>
      </c>
      <c r="E3" t="s">
        <v>80</v>
      </c>
      <c r="F3" t="s">
        <v>81</v>
      </c>
      <c r="G3" t="s">
        <v>92</v>
      </c>
    </row>
    <row r="4" spans="1:7" x14ac:dyDescent="0.35">
      <c r="A4" t="s">
        <v>82</v>
      </c>
      <c r="B4" s="57" t="s">
        <v>83</v>
      </c>
      <c r="D4" t="s">
        <v>84</v>
      </c>
      <c r="F4" t="s">
        <v>85</v>
      </c>
      <c r="G4" t="s">
        <v>93</v>
      </c>
    </row>
    <row r="5" spans="1:7" x14ac:dyDescent="0.35">
      <c r="A5" t="s">
        <v>86</v>
      </c>
      <c r="B5" s="57"/>
      <c r="D5" t="s">
        <v>87</v>
      </c>
    </row>
    <row r="6" spans="1:7" x14ac:dyDescent="0.35">
      <c r="B6" s="57"/>
      <c r="D6" t="s">
        <v>88</v>
      </c>
    </row>
    <row r="7" spans="1:7" x14ac:dyDescent="0.35">
      <c r="B7" s="57"/>
      <c r="D7" t="s">
        <v>89</v>
      </c>
    </row>
    <row r="8" spans="1:7" x14ac:dyDescent="0.35">
      <c r="B8" s="57"/>
      <c r="D8" t="s">
        <v>90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7D73-734E-43D7-B338-04C3B0976CB1}">
  <sheetPr codeName="Sheet9"/>
  <dimension ref="A1:B2"/>
  <sheetViews>
    <sheetView tabSelected="1" workbookViewId="0">
      <selection sqref="A1:XFD1048576"/>
    </sheetView>
  </sheetViews>
  <sheetFormatPr defaultRowHeight="15.5" x14ac:dyDescent="0.35"/>
  <sheetData>
    <row r="1" spans="1:2" x14ac:dyDescent="0.35">
      <c r="A1" t="s">
        <v>64</v>
      </c>
      <c r="B1" t="s">
        <v>65</v>
      </c>
    </row>
    <row r="2" spans="1:2" x14ac:dyDescent="0.35">
      <c r="A2">
        <v>27.599999999999998</v>
      </c>
      <c r="B2">
        <v>18.400000000000002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Intro</vt:lpstr>
      <vt:lpstr>assignment</vt:lpstr>
      <vt:lpstr>Stock RNN</vt:lpstr>
      <vt:lpstr>Stock DJ</vt:lpstr>
      <vt:lpstr>Stock AOL</vt:lpstr>
      <vt:lpstr>IRGBP</vt:lpstr>
      <vt:lpstr>IREUR</vt:lpstr>
      <vt:lpstr>IRUSD</vt:lpstr>
      <vt:lpstr>IRCAD</vt:lpstr>
      <vt:lpstr>IRJPY</vt:lpstr>
      <vt:lpstr>IRHKD</vt:lpstr>
      <vt:lpstr>IRAUD</vt:lpstr>
      <vt:lpstr>SpotFX</vt:lpstr>
      <vt:lpstr>Data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Owner</cp:lastModifiedBy>
  <dcterms:created xsi:type="dcterms:W3CDTF">2020-05-01T03:46:10Z</dcterms:created>
  <dcterms:modified xsi:type="dcterms:W3CDTF">2020-06-12T15:07:24Z</dcterms:modified>
</cp:coreProperties>
</file>